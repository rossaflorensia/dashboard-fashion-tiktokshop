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2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3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4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Ex4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Ex5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feee3b7cde2573bd/文档/5C ANALISIS DAN VISUALISASI DATA/"/>
    </mc:Choice>
  </mc:AlternateContent>
  <xr:revisionPtr revIDLastSave="1" documentId="8_{5DD4B104-6D3D-49B3-9511-58295BDFB062}" xr6:coauthVersionLast="47" xr6:coauthVersionMax="47" xr10:uidLastSave="{CBD85C3F-5AAC-49B8-8BA9-81C1238531F5}"/>
  <bookViews>
    <workbookView xWindow="-110" yWindow="-110" windowWidth="19420" windowHeight="11500" activeTab="2" xr2:uid="{00000000-000D-0000-FFFF-FFFF00000000}"/>
  </bookViews>
  <sheets>
    <sheet name="Sheet1" sheetId="1" r:id="rId1"/>
    <sheet name="Distribusi data" sheetId="2" r:id="rId2"/>
    <sheet name="Sheet2" sheetId="3" r:id="rId3"/>
  </sheets>
  <definedNames>
    <definedName name="_xlchart.v1.0" hidden="1">Sheet1!$A$2:$C$101</definedName>
    <definedName name="_xlchart.v1.1" hidden="1">Sheet1!$D$1</definedName>
    <definedName name="_xlchart.v1.10" hidden="1">Sheet1!$E$2:$E$101</definedName>
    <definedName name="_xlchart.v1.11" hidden="1">Sheet2!$AA$5</definedName>
    <definedName name="_xlchart.v1.12" hidden="1">Sheet2!$AA$6:$AA$105</definedName>
    <definedName name="_xlchart.v1.13" hidden="1">Sheet2!$Z$6:$Z$105</definedName>
    <definedName name="_xlchart.v1.14" hidden="1">Sheet2!$N$5</definedName>
    <definedName name="_xlchart.v1.15" hidden="1">Sheet2!$N$6:$N$105</definedName>
    <definedName name="_xlchart.v1.2" hidden="1">Sheet1!$D$2:$D$101</definedName>
    <definedName name="_xlchart.v1.3" hidden="1">Sheet1!$E$1</definedName>
    <definedName name="_xlchart.v1.4" hidden="1">Sheet1!$E$2:$E$101</definedName>
    <definedName name="_xlchart.v1.5" hidden="1">Sheet1!$F$1</definedName>
    <definedName name="_xlchart.v1.6" hidden="1">Sheet1!$F$2:$F$101</definedName>
    <definedName name="_xlchart.v1.7" hidden="1">Sheet1!$F$1</definedName>
    <definedName name="_xlchart.v1.8" hidden="1">Sheet1!$F$2:$F$101</definedName>
    <definedName name="_xlchart.v1.9" hidden="1">Sheet1!$E$1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0" i="1" l="1"/>
  <c r="D109" i="1"/>
  <c r="D108" i="1"/>
  <c r="F106" i="1"/>
  <c r="E106" i="1"/>
  <c r="D106" i="1"/>
  <c r="D105" i="1"/>
  <c r="F104" i="1"/>
  <c r="E104" i="1"/>
  <c r="D104" i="1"/>
  <c r="F103" i="1"/>
  <c r="E103" i="1"/>
  <c r="D103" i="1"/>
</calcChain>
</file>

<file path=xl/sharedStrings.xml><?xml version="1.0" encoding="utf-8"?>
<sst xmlns="http://schemas.openxmlformats.org/spreadsheetml/2006/main" count="437" uniqueCount="42">
  <si>
    <t>date</t>
  </si>
  <si>
    <t>category</t>
  </si>
  <si>
    <t>product_name</t>
  </si>
  <si>
    <t>units_sold</t>
  </si>
  <si>
    <t>price</t>
  </si>
  <si>
    <t>revenue</t>
  </si>
  <si>
    <t>Dress</t>
  </si>
  <si>
    <t>Mini Dress Floral</t>
  </si>
  <si>
    <t>Aksesoris</t>
  </si>
  <si>
    <t>Topi Bucket</t>
  </si>
  <si>
    <t>Outerwear</t>
  </si>
  <si>
    <t>Hoodie Fleece</t>
  </si>
  <si>
    <t>Anting Hoop</t>
  </si>
  <si>
    <t>Celana</t>
  </si>
  <si>
    <t>Celana Kulot</t>
  </si>
  <si>
    <t>Atasan</t>
  </si>
  <si>
    <t>Kemeja Linen</t>
  </si>
  <si>
    <t>Bodycon Dress</t>
  </si>
  <si>
    <t>Jeans Highwaist</t>
  </si>
  <si>
    <t>Legging Sport</t>
  </si>
  <si>
    <t>Kaos Oversize</t>
  </si>
  <si>
    <t>Maxi Dress Satin</t>
  </si>
  <si>
    <t>Ikat Rambut</t>
  </si>
  <si>
    <t>Blouse Ruffle</t>
  </si>
  <si>
    <t>Cardigan Rajut</t>
  </si>
  <si>
    <t>Jakets Denim</t>
  </si>
  <si>
    <t>Mean</t>
  </si>
  <si>
    <t>Median</t>
  </si>
  <si>
    <t>Modus</t>
  </si>
  <si>
    <t>Standard deviation</t>
  </si>
  <si>
    <t>Distribusi data</t>
  </si>
  <si>
    <t>Row Labels</t>
  </si>
  <si>
    <t>Grand Total</t>
  </si>
  <si>
    <t>Count of category</t>
  </si>
  <si>
    <t>Distribusi kategori</t>
  </si>
  <si>
    <t>Korelasi antar variabel:</t>
  </si>
  <si>
    <t>Korelasi Unitsold dengan Revenue</t>
  </si>
  <si>
    <t>Korelasi Units Sold dengan Price</t>
  </si>
  <si>
    <t>Korelasi Price dengan Revenue</t>
  </si>
  <si>
    <t>Distribusi Units Sold (Histogram)</t>
  </si>
  <si>
    <t>Distribusi Harga (Price Distribution)</t>
  </si>
  <si>
    <t>Distribusi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</si>
</sst>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4" fontId="2" fillId="0" borderId="0" xfId="0" applyNumberFormat="1" applyFont="1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Bar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Sheet2!$A$2:$A$101</c:f>
              <c:strCache>
                <c:ptCount val="100"/>
                <c:pt idx="0">
                  <c:v>Mini Dress Floral</c:v>
                </c:pt>
                <c:pt idx="1">
                  <c:v>Topi Bucket</c:v>
                </c:pt>
                <c:pt idx="2">
                  <c:v>Hoodie Fleece</c:v>
                </c:pt>
                <c:pt idx="3">
                  <c:v>Anting Hoop</c:v>
                </c:pt>
                <c:pt idx="4">
                  <c:v>Celana Kulot</c:v>
                </c:pt>
                <c:pt idx="5">
                  <c:v>Mini Dress Floral</c:v>
                </c:pt>
                <c:pt idx="6">
                  <c:v>Celana Kulot</c:v>
                </c:pt>
                <c:pt idx="7">
                  <c:v>Kemeja Linen</c:v>
                </c:pt>
                <c:pt idx="8">
                  <c:v>Bodycon Dress</c:v>
                </c:pt>
                <c:pt idx="9">
                  <c:v>Hoodie Fleece</c:v>
                </c:pt>
                <c:pt idx="10">
                  <c:v>Hoodie Fleece</c:v>
                </c:pt>
                <c:pt idx="11">
                  <c:v>Jeans Highwaist</c:v>
                </c:pt>
                <c:pt idx="12">
                  <c:v>Jeans Highwaist</c:v>
                </c:pt>
                <c:pt idx="13">
                  <c:v>Legging Sport</c:v>
                </c:pt>
                <c:pt idx="14">
                  <c:v>Anting Hoop</c:v>
                </c:pt>
                <c:pt idx="15">
                  <c:v>Kaos Oversize</c:v>
                </c:pt>
                <c:pt idx="16">
                  <c:v>Celana Kulot</c:v>
                </c:pt>
                <c:pt idx="17">
                  <c:v>Maxi Dress Satin</c:v>
                </c:pt>
                <c:pt idx="18">
                  <c:v>Celana Kulot</c:v>
                </c:pt>
                <c:pt idx="19">
                  <c:v>Celana Kulot</c:v>
                </c:pt>
                <c:pt idx="20">
                  <c:v>Mini Dress Floral</c:v>
                </c:pt>
                <c:pt idx="21">
                  <c:v>Ikat Rambut</c:v>
                </c:pt>
                <c:pt idx="22">
                  <c:v>Jeans Highwaist</c:v>
                </c:pt>
                <c:pt idx="23">
                  <c:v>Topi Bucket</c:v>
                </c:pt>
                <c:pt idx="24">
                  <c:v>Blouse Ruffle</c:v>
                </c:pt>
                <c:pt idx="25">
                  <c:v>Hoodie Fleece</c:v>
                </c:pt>
                <c:pt idx="26">
                  <c:v>Hoodie Fleece</c:v>
                </c:pt>
                <c:pt idx="27">
                  <c:v>Ikat Rambut</c:v>
                </c:pt>
                <c:pt idx="28">
                  <c:v>Kemeja Linen</c:v>
                </c:pt>
                <c:pt idx="29">
                  <c:v>Maxi Dress Satin</c:v>
                </c:pt>
                <c:pt idx="30">
                  <c:v>Anting Hoop</c:v>
                </c:pt>
                <c:pt idx="31">
                  <c:v>Hoodie Fleece</c:v>
                </c:pt>
                <c:pt idx="32">
                  <c:v>Anting Hoop</c:v>
                </c:pt>
                <c:pt idx="33">
                  <c:v>Blouse Ruffle</c:v>
                </c:pt>
                <c:pt idx="34">
                  <c:v>Cardigan Rajut</c:v>
                </c:pt>
                <c:pt idx="35">
                  <c:v>Celana Kulot</c:v>
                </c:pt>
                <c:pt idx="36">
                  <c:v>Blouse Ruffle</c:v>
                </c:pt>
                <c:pt idx="37">
                  <c:v>Anting Hoop</c:v>
                </c:pt>
                <c:pt idx="38">
                  <c:v>Cardigan Rajut</c:v>
                </c:pt>
                <c:pt idx="39">
                  <c:v>Hoodie Fleece</c:v>
                </c:pt>
                <c:pt idx="40">
                  <c:v>Celana Kulot</c:v>
                </c:pt>
                <c:pt idx="41">
                  <c:v>Blouse Ruffle</c:v>
                </c:pt>
                <c:pt idx="42">
                  <c:v>Maxi Dress Satin</c:v>
                </c:pt>
                <c:pt idx="43">
                  <c:v>Legging Sport</c:v>
                </c:pt>
                <c:pt idx="44">
                  <c:v>Blouse Ruffle</c:v>
                </c:pt>
                <c:pt idx="45">
                  <c:v>Blouse Ruffle</c:v>
                </c:pt>
                <c:pt idx="46">
                  <c:v>Cardigan Rajut</c:v>
                </c:pt>
                <c:pt idx="47">
                  <c:v>Jakets Denim</c:v>
                </c:pt>
                <c:pt idx="48">
                  <c:v>Jakets Denim</c:v>
                </c:pt>
                <c:pt idx="49">
                  <c:v>Blouse Ruffle</c:v>
                </c:pt>
                <c:pt idx="50">
                  <c:v>Maxi Dress Satin</c:v>
                </c:pt>
                <c:pt idx="51">
                  <c:v>Blouse Ruffle</c:v>
                </c:pt>
                <c:pt idx="52">
                  <c:v>Cardigan Rajut</c:v>
                </c:pt>
                <c:pt idx="53">
                  <c:v>Topi Bucket</c:v>
                </c:pt>
                <c:pt idx="54">
                  <c:v>Jeans Highwaist</c:v>
                </c:pt>
                <c:pt idx="55">
                  <c:v>Bodycon Dress</c:v>
                </c:pt>
                <c:pt idx="56">
                  <c:v>Cardigan Rajut</c:v>
                </c:pt>
                <c:pt idx="57">
                  <c:v>Ikat Rambut</c:v>
                </c:pt>
                <c:pt idx="58">
                  <c:v>Hoodie Fleece</c:v>
                </c:pt>
                <c:pt idx="59">
                  <c:v>Blouse Ruffle</c:v>
                </c:pt>
                <c:pt idx="60">
                  <c:v>Anting Hoop</c:v>
                </c:pt>
                <c:pt idx="61">
                  <c:v>Hoodie Fleece</c:v>
                </c:pt>
                <c:pt idx="62">
                  <c:v>Hoodie Fleece</c:v>
                </c:pt>
                <c:pt idx="63">
                  <c:v>Jeans Highwaist</c:v>
                </c:pt>
                <c:pt idx="64">
                  <c:v>Blouse Ruffle</c:v>
                </c:pt>
                <c:pt idx="65">
                  <c:v>Legging Sport</c:v>
                </c:pt>
                <c:pt idx="66">
                  <c:v>Jeans Highwaist</c:v>
                </c:pt>
                <c:pt idx="67">
                  <c:v>Kaos Oversize</c:v>
                </c:pt>
                <c:pt idx="68">
                  <c:v>Anting Hoop</c:v>
                </c:pt>
                <c:pt idx="69">
                  <c:v>Hoodie Fleece</c:v>
                </c:pt>
                <c:pt idx="70">
                  <c:v>Jakets Denim</c:v>
                </c:pt>
                <c:pt idx="71">
                  <c:v>Bodycon Dress</c:v>
                </c:pt>
                <c:pt idx="72">
                  <c:v>Maxi Dress Satin</c:v>
                </c:pt>
                <c:pt idx="73">
                  <c:v>Jakets Denim</c:v>
                </c:pt>
                <c:pt idx="74">
                  <c:v>Blouse Ruffle</c:v>
                </c:pt>
                <c:pt idx="75">
                  <c:v>Celana Kulot</c:v>
                </c:pt>
                <c:pt idx="76">
                  <c:v>Topi Bucket</c:v>
                </c:pt>
                <c:pt idx="77">
                  <c:v>Mini Dress Floral</c:v>
                </c:pt>
                <c:pt idx="78">
                  <c:v>Bodycon Dress</c:v>
                </c:pt>
                <c:pt idx="79">
                  <c:v>Kemeja Linen</c:v>
                </c:pt>
                <c:pt idx="80">
                  <c:v>Anting Hoop</c:v>
                </c:pt>
                <c:pt idx="81">
                  <c:v>Jakets Denim</c:v>
                </c:pt>
                <c:pt idx="82">
                  <c:v>Kemeja Linen</c:v>
                </c:pt>
                <c:pt idx="83">
                  <c:v>Mini Dress Floral</c:v>
                </c:pt>
                <c:pt idx="84">
                  <c:v>Bodycon Dress</c:v>
                </c:pt>
                <c:pt idx="85">
                  <c:v>Kaos Oversize</c:v>
                </c:pt>
                <c:pt idx="86">
                  <c:v>Ikat Rambut</c:v>
                </c:pt>
                <c:pt idx="87">
                  <c:v>Blouse Ruffle</c:v>
                </c:pt>
                <c:pt idx="88">
                  <c:v>Kaos Oversize</c:v>
                </c:pt>
                <c:pt idx="89">
                  <c:v>Kemeja Linen</c:v>
                </c:pt>
                <c:pt idx="90">
                  <c:v>Kemeja Linen</c:v>
                </c:pt>
                <c:pt idx="91">
                  <c:v>Legging Sport</c:v>
                </c:pt>
                <c:pt idx="92">
                  <c:v>Legging Sport</c:v>
                </c:pt>
                <c:pt idx="93">
                  <c:v>Legging Sport</c:v>
                </c:pt>
                <c:pt idx="94">
                  <c:v>Celana Kulot</c:v>
                </c:pt>
                <c:pt idx="95">
                  <c:v>Blouse Ruffle</c:v>
                </c:pt>
                <c:pt idx="96">
                  <c:v>Ikat Rambut</c:v>
                </c:pt>
                <c:pt idx="97">
                  <c:v>Blouse Ruffle</c:v>
                </c:pt>
                <c:pt idx="98">
                  <c:v>Mini Dress Floral</c:v>
                </c:pt>
                <c:pt idx="99">
                  <c:v>Bodycon Dress</c:v>
                </c:pt>
              </c:strCache>
            </c:strRef>
          </c:cat>
          <c:val>
            <c:numRef>
              <c:f>Sheet2!$B$2:$B$101</c:f>
              <c:numCache>
                <c:formatCode>General</c:formatCode>
                <c:ptCount val="100"/>
                <c:pt idx="0">
                  <c:v>2098185</c:v>
                </c:pt>
                <c:pt idx="1">
                  <c:v>6136143</c:v>
                </c:pt>
                <c:pt idx="2">
                  <c:v>1182478</c:v>
                </c:pt>
                <c:pt idx="3">
                  <c:v>1866040</c:v>
                </c:pt>
                <c:pt idx="4">
                  <c:v>8323558</c:v>
                </c:pt>
                <c:pt idx="5">
                  <c:v>6757707</c:v>
                </c:pt>
                <c:pt idx="6">
                  <c:v>10739872</c:v>
                </c:pt>
                <c:pt idx="7">
                  <c:v>7119126</c:v>
                </c:pt>
                <c:pt idx="8">
                  <c:v>8781715</c:v>
                </c:pt>
                <c:pt idx="9">
                  <c:v>267276</c:v>
                </c:pt>
                <c:pt idx="10">
                  <c:v>4853310</c:v>
                </c:pt>
                <c:pt idx="11">
                  <c:v>3150574</c:v>
                </c:pt>
                <c:pt idx="12">
                  <c:v>2291848</c:v>
                </c:pt>
                <c:pt idx="13">
                  <c:v>479885</c:v>
                </c:pt>
                <c:pt idx="14">
                  <c:v>3502695</c:v>
                </c:pt>
                <c:pt idx="15">
                  <c:v>9621880</c:v>
                </c:pt>
                <c:pt idx="16">
                  <c:v>593718</c:v>
                </c:pt>
                <c:pt idx="17">
                  <c:v>5708070</c:v>
                </c:pt>
                <c:pt idx="18">
                  <c:v>9537836</c:v>
                </c:pt>
                <c:pt idx="19">
                  <c:v>6612408</c:v>
                </c:pt>
                <c:pt idx="20">
                  <c:v>9635360</c:v>
                </c:pt>
                <c:pt idx="21">
                  <c:v>1375596</c:v>
                </c:pt>
                <c:pt idx="22">
                  <c:v>2611980</c:v>
                </c:pt>
                <c:pt idx="23">
                  <c:v>1519350</c:v>
                </c:pt>
                <c:pt idx="24">
                  <c:v>6765748</c:v>
                </c:pt>
                <c:pt idx="25">
                  <c:v>3131927</c:v>
                </c:pt>
                <c:pt idx="26">
                  <c:v>1077978</c:v>
                </c:pt>
                <c:pt idx="27">
                  <c:v>3295695</c:v>
                </c:pt>
                <c:pt idx="28">
                  <c:v>454815</c:v>
                </c:pt>
                <c:pt idx="29">
                  <c:v>3601455</c:v>
                </c:pt>
                <c:pt idx="30">
                  <c:v>9433908</c:v>
                </c:pt>
                <c:pt idx="31">
                  <c:v>249090</c:v>
                </c:pt>
                <c:pt idx="32">
                  <c:v>2496732</c:v>
                </c:pt>
                <c:pt idx="33">
                  <c:v>3088956</c:v>
                </c:pt>
                <c:pt idx="34">
                  <c:v>3571890</c:v>
                </c:pt>
                <c:pt idx="35">
                  <c:v>910195</c:v>
                </c:pt>
                <c:pt idx="36">
                  <c:v>3454048</c:v>
                </c:pt>
                <c:pt idx="37">
                  <c:v>8077524</c:v>
                </c:pt>
                <c:pt idx="38">
                  <c:v>7448112</c:v>
                </c:pt>
                <c:pt idx="39">
                  <c:v>3814162</c:v>
                </c:pt>
                <c:pt idx="40">
                  <c:v>8713305</c:v>
                </c:pt>
                <c:pt idx="41">
                  <c:v>1476450</c:v>
                </c:pt>
                <c:pt idx="42">
                  <c:v>418517</c:v>
                </c:pt>
                <c:pt idx="43">
                  <c:v>4845344</c:v>
                </c:pt>
                <c:pt idx="44">
                  <c:v>5736015</c:v>
                </c:pt>
                <c:pt idx="45">
                  <c:v>6582386</c:v>
                </c:pt>
                <c:pt idx="46">
                  <c:v>9197312</c:v>
                </c:pt>
                <c:pt idx="47">
                  <c:v>9559924</c:v>
                </c:pt>
                <c:pt idx="48">
                  <c:v>7901152</c:v>
                </c:pt>
                <c:pt idx="49">
                  <c:v>2908297</c:v>
                </c:pt>
                <c:pt idx="50">
                  <c:v>9381294</c:v>
                </c:pt>
                <c:pt idx="51">
                  <c:v>5549936</c:v>
                </c:pt>
                <c:pt idx="52">
                  <c:v>265718</c:v>
                </c:pt>
                <c:pt idx="53">
                  <c:v>197789</c:v>
                </c:pt>
                <c:pt idx="54">
                  <c:v>6408908</c:v>
                </c:pt>
                <c:pt idx="55">
                  <c:v>1427261</c:v>
                </c:pt>
                <c:pt idx="56">
                  <c:v>8319530</c:v>
                </c:pt>
                <c:pt idx="57">
                  <c:v>654270</c:v>
                </c:pt>
                <c:pt idx="58">
                  <c:v>2048208</c:v>
                </c:pt>
                <c:pt idx="59">
                  <c:v>429978</c:v>
                </c:pt>
                <c:pt idx="60">
                  <c:v>3077660</c:v>
                </c:pt>
                <c:pt idx="61">
                  <c:v>1423604</c:v>
                </c:pt>
                <c:pt idx="62">
                  <c:v>4300736</c:v>
                </c:pt>
                <c:pt idx="63">
                  <c:v>309705</c:v>
                </c:pt>
                <c:pt idx="64">
                  <c:v>964114</c:v>
                </c:pt>
                <c:pt idx="65">
                  <c:v>467901</c:v>
                </c:pt>
                <c:pt idx="66">
                  <c:v>7502929</c:v>
                </c:pt>
                <c:pt idx="67">
                  <c:v>491184</c:v>
                </c:pt>
                <c:pt idx="68">
                  <c:v>246600</c:v>
                </c:pt>
                <c:pt idx="69">
                  <c:v>9718992</c:v>
                </c:pt>
                <c:pt idx="70">
                  <c:v>1062039</c:v>
                </c:pt>
                <c:pt idx="71">
                  <c:v>2582839</c:v>
                </c:pt>
                <c:pt idx="72">
                  <c:v>8493560</c:v>
                </c:pt>
                <c:pt idx="73">
                  <c:v>5827250</c:v>
                </c:pt>
                <c:pt idx="74">
                  <c:v>3564846</c:v>
                </c:pt>
                <c:pt idx="75">
                  <c:v>7427245</c:v>
                </c:pt>
                <c:pt idx="76">
                  <c:v>3969792</c:v>
                </c:pt>
                <c:pt idx="77">
                  <c:v>1559768</c:v>
                </c:pt>
                <c:pt idx="78">
                  <c:v>319248</c:v>
                </c:pt>
                <c:pt idx="79">
                  <c:v>876260</c:v>
                </c:pt>
                <c:pt idx="80">
                  <c:v>1366480</c:v>
                </c:pt>
                <c:pt idx="81">
                  <c:v>1554945</c:v>
                </c:pt>
                <c:pt idx="82">
                  <c:v>8109156</c:v>
                </c:pt>
                <c:pt idx="83">
                  <c:v>3154272</c:v>
                </c:pt>
                <c:pt idx="84">
                  <c:v>6173167</c:v>
                </c:pt>
                <c:pt idx="85">
                  <c:v>2986681</c:v>
                </c:pt>
                <c:pt idx="86">
                  <c:v>6429745</c:v>
                </c:pt>
                <c:pt idx="87">
                  <c:v>562080</c:v>
                </c:pt>
                <c:pt idx="88">
                  <c:v>6736517</c:v>
                </c:pt>
                <c:pt idx="89">
                  <c:v>548142</c:v>
                </c:pt>
                <c:pt idx="90">
                  <c:v>3341808</c:v>
                </c:pt>
                <c:pt idx="91">
                  <c:v>608871</c:v>
                </c:pt>
                <c:pt idx="92">
                  <c:v>837540</c:v>
                </c:pt>
                <c:pt idx="93">
                  <c:v>829683</c:v>
                </c:pt>
                <c:pt idx="94">
                  <c:v>3039991</c:v>
                </c:pt>
                <c:pt idx="95">
                  <c:v>9853063</c:v>
                </c:pt>
                <c:pt idx="96">
                  <c:v>5253690</c:v>
                </c:pt>
                <c:pt idx="97">
                  <c:v>1686888</c:v>
                </c:pt>
                <c:pt idx="98">
                  <c:v>447360</c:v>
                </c:pt>
                <c:pt idx="99">
                  <c:v>3313058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2D-4D86-9173-790EDEBB15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44276224"/>
        <c:axId val="744270464"/>
      </c:barChart>
      <c:catAx>
        <c:axId val="7442762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270464"/>
        <c:crosses val="autoZero"/>
        <c:auto val="1"/>
        <c:lblAlgn val="ctr"/>
        <c:lblOffset val="100"/>
        <c:noMultiLvlLbl val="0"/>
      </c:catAx>
      <c:valAx>
        <c:axId val="744270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276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Line</a:t>
            </a:r>
            <a:r>
              <a:rPr lang="en-ID" baseline="0"/>
              <a:t> Chart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Sheet2!$N$5</c:f>
              <c:strCache>
                <c:ptCount val="1"/>
                <c:pt idx="0">
                  <c:v>units_sold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Sheet2!$M$6:$M$105</c:f>
              <c:numCache>
                <c:formatCode>m/d/yyyy</c:formatCode>
                <c:ptCount val="10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  <c:pt idx="30">
                  <c:v>45322</c:v>
                </c:pt>
                <c:pt idx="31">
                  <c:v>45323</c:v>
                </c:pt>
                <c:pt idx="32">
                  <c:v>45324</c:v>
                </c:pt>
                <c:pt idx="33">
                  <c:v>45325</c:v>
                </c:pt>
                <c:pt idx="34">
                  <c:v>45326</c:v>
                </c:pt>
                <c:pt idx="35">
                  <c:v>45327</c:v>
                </c:pt>
                <c:pt idx="36">
                  <c:v>45328</c:v>
                </c:pt>
                <c:pt idx="37">
                  <c:v>45329</c:v>
                </c:pt>
                <c:pt idx="38">
                  <c:v>45330</c:v>
                </c:pt>
                <c:pt idx="39">
                  <c:v>45331</c:v>
                </c:pt>
                <c:pt idx="40">
                  <c:v>45332</c:v>
                </c:pt>
                <c:pt idx="41">
                  <c:v>45333</c:v>
                </c:pt>
                <c:pt idx="42">
                  <c:v>45334</c:v>
                </c:pt>
                <c:pt idx="43">
                  <c:v>45335</c:v>
                </c:pt>
                <c:pt idx="44">
                  <c:v>45336</c:v>
                </c:pt>
                <c:pt idx="45">
                  <c:v>45337</c:v>
                </c:pt>
                <c:pt idx="46">
                  <c:v>45338</c:v>
                </c:pt>
                <c:pt idx="47">
                  <c:v>45339</c:v>
                </c:pt>
                <c:pt idx="48">
                  <c:v>45340</c:v>
                </c:pt>
                <c:pt idx="49">
                  <c:v>45341</c:v>
                </c:pt>
                <c:pt idx="50">
                  <c:v>45342</c:v>
                </c:pt>
                <c:pt idx="51">
                  <c:v>45343</c:v>
                </c:pt>
                <c:pt idx="52">
                  <c:v>45344</c:v>
                </c:pt>
                <c:pt idx="53">
                  <c:v>45345</c:v>
                </c:pt>
                <c:pt idx="54">
                  <c:v>45346</c:v>
                </c:pt>
                <c:pt idx="55">
                  <c:v>45347</c:v>
                </c:pt>
                <c:pt idx="56">
                  <c:v>45348</c:v>
                </c:pt>
                <c:pt idx="57">
                  <c:v>45349</c:v>
                </c:pt>
                <c:pt idx="58">
                  <c:v>45350</c:v>
                </c:pt>
                <c:pt idx="59">
                  <c:v>45351</c:v>
                </c:pt>
                <c:pt idx="60">
                  <c:v>45352</c:v>
                </c:pt>
                <c:pt idx="61">
                  <c:v>45353</c:v>
                </c:pt>
                <c:pt idx="62">
                  <c:v>45354</c:v>
                </c:pt>
                <c:pt idx="63">
                  <c:v>45355</c:v>
                </c:pt>
                <c:pt idx="64">
                  <c:v>45356</c:v>
                </c:pt>
                <c:pt idx="65">
                  <c:v>45357</c:v>
                </c:pt>
                <c:pt idx="66">
                  <c:v>45358</c:v>
                </c:pt>
                <c:pt idx="67">
                  <c:v>45359</c:v>
                </c:pt>
                <c:pt idx="68">
                  <c:v>45360</c:v>
                </c:pt>
                <c:pt idx="69">
                  <c:v>45361</c:v>
                </c:pt>
                <c:pt idx="70">
                  <c:v>45362</c:v>
                </c:pt>
                <c:pt idx="71">
                  <c:v>45363</c:v>
                </c:pt>
                <c:pt idx="72">
                  <c:v>45364</c:v>
                </c:pt>
                <c:pt idx="73">
                  <c:v>45365</c:v>
                </c:pt>
                <c:pt idx="74">
                  <c:v>45366</c:v>
                </c:pt>
                <c:pt idx="75">
                  <c:v>45367</c:v>
                </c:pt>
                <c:pt idx="76">
                  <c:v>45368</c:v>
                </c:pt>
                <c:pt idx="77">
                  <c:v>45369</c:v>
                </c:pt>
                <c:pt idx="78">
                  <c:v>45370</c:v>
                </c:pt>
                <c:pt idx="79">
                  <c:v>45371</c:v>
                </c:pt>
                <c:pt idx="80">
                  <c:v>45372</c:v>
                </c:pt>
                <c:pt idx="81">
                  <c:v>45373</c:v>
                </c:pt>
                <c:pt idx="82">
                  <c:v>45374</c:v>
                </c:pt>
                <c:pt idx="83">
                  <c:v>45375</c:v>
                </c:pt>
                <c:pt idx="84">
                  <c:v>45376</c:v>
                </c:pt>
                <c:pt idx="85">
                  <c:v>45377</c:v>
                </c:pt>
                <c:pt idx="86">
                  <c:v>45378</c:v>
                </c:pt>
                <c:pt idx="87">
                  <c:v>45379</c:v>
                </c:pt>
                <c:pt idx="88">
                  <c:v>45380</c:v>
                </c:pt>
                <c:pt idx="89">
                  <c:v>45381</c:v>
                </c:pt>
                <c:pt idx="90">
                  <c:v>45382</c:v>
                </c:pt>
                <c:pt idx="91">
                  <c:v>45383</c:v>
                </c:pt>
                <c:pt idx="92">
                  <c:v>45384</c:v>
                </c:pt>
                <c:pt idx="93">
                  <c:v>45385</c:v>
                </c:pt>
                <c:pt idx="94">
                  <c:v>45386</c:v>
                </c:pt>
                <c:pt idx="95">
                  <c:v>45387</c:v>
                </c:pt>
                <c:pt idx="96">
                  <c:v>45388</c:v>
                </c:pt>
                <c:pt idx="97">
                  <c:v>45389</c:v>
                </c:pt>
                <c:pt idx="98">
                  <c:v>45390</c:v>
                </c:pt>
                <c:pt idx="99">
                  <c:v>45391</c:v>
                </c:pt>
              </c:numCache>
            </c:numRef>
          </c:cat>
          <c:val>
            <c:numRef>
              <c:f>Sheet2!$N$6:$N$105</c:f>
              <c:numCache>
                <c:formatCode>General</c:formatCode>
                <c:ptCount val="100"/>
                <c:pt idx="0">
                  <c:v>15</c:v>
                </c:pt>
                <c:pt idx="1">
                  <c:v>39</c:v>
                </c:pt>
                <c:pt idx="2">
                  <c:v>11</c:v>
                </c:pt>
                <c:pt idx="3">
                  <c:v>22</c:v>
                </c:pt>
                <c:pt idx="4">
                  <c:v>38</c:v>
                </c:pt>
                <c:pt idx="5">
                  <c:v>33</c:v>
                </c:pt>
                <c:pt idx="6">
                  <c:v>44</c:v>
                </c:pt>
                <c:pt idx="7">
                  <c:v>42</c:v>
                </c:pt>
                <c:pt idx="8">
                  <c:v>47</c:v>
                </c:pt>
                <c:pt idx="9">
                  <c:v>3</c:v>
                </c:pt>
                <c:pt idx="10">
                  <c:v>21</c:v>
                </c:pt>
                <c:pt idx="11">
                  <c:v>14</c:v>
                </c:pt>
                <c:pt idx="12">
                  <c:v>26</c:v>
                </c:pt>
                <c:pt idx="13">
                  <c:v>7</c:v>
                </c:pt>
                <c:pt idx="14">
                  <c:v>35</c:v>
                </c:pt>
                <c:pt idx="15">
                  <c:v>40</c:v>
                </c:pt>
                <c:pt idx="16">
                  <c:v>6</c:v>
                </c:pt>
                <c:pt idx="17">
                  <c:v>29</c:v>
                </c:pt>
                <c:pt idx="18">
                  <c:v>44</c:v>
                </c:pt>
                <c:pt idx="19">
                  <c:v>36</c:v>
                </c:pt>
                <c:pt idx="20">
                  <c:v>40</c:v>
                </c:pt>
                <c:pt idx="21">
                  <c:v>47</c:v>
                </c:pt>
                <c:pt idx="22">
                  <c:v>45</c:v>
                </c:pt>
                <c:pt idx="23">
                  <c:v>25</c:v>
                </c:pt>
                <c:pt idx="24">
                  <c:v>44</c:v>
                </c:pt>
                <c:pt idx="25">
                  <c:v>17</c:v>
                </c:pt>
                <c:pt idx="26">
                  <c:v>33</c:v>
                </c:pt>
                <c:pt idx="27">
                  <c:v>39</c:v>
                </c:pt>
                <c:pt idx="28">
                  <c:v>9</c:v>
                </c:pt>
                <c:pt idx="29">
                  <c:v>33</c:v>
                </c:pt>
                <c:pt idx="30">
                  <c:v>44</c:v>
                </c:pt>
                <c:pt idx="31">
                  <c:v>1</c:v>
                </c:pt>
                <c:pt idx="32">
                  <c:v>14</c:v>
                </c:pt>
                <c:pt idx="33">
                  <c:v>26</c:v>
                </c:pt>
                <c:pt idx="34">
                  <c:v>15</c:v>
                </c:pt>
                <c:pt idx="35">
                  <c:v>13</c:v>
                </c:pt>
                <c:pt idx="36">
                  <c:v>32</c:v>
                </c:pt>
                <c:pt idx="37">
                  <c:v>39</c:v>
                </c:pt>
                <c:pt idx="38">
                  <c:v>36</c:v>
                </c:pt>
                <c:pt idx="39">
                  <c:v>22</c:v>
                </c:pt>
                <c:pt idx="40">
                  <c:v>45</c:v>
                </c:pt>
                <c:pt idx="41">
                  <c:v>6</c:v>
                </c:pt>
                <c:pt idx="42">
                  <c:v>11</c:v>
                </c:pt>
                <c:pt idx="43">
                  <c:v>28</c:v>
                </c:pt>
                <c:pt idx="44">
                  <c:v>27</c:v>
                </c:pt>
                <c:pt idx="45">
                  <c:v>41</c:v>
                </c:pt>
                <c:pt idx="46">
                  <c:v>37</c:v>
                </c:pt>
                <c:pt idx="47">
                  <c:v>44</c:v>
                </c:pt>
                <c:pt idx="48">
                  <c:v>32</c:v>
                </c:pt>
                <c:pt idx="49">
                  <c:v>49</c:v>
                </c:pt>
                <c:pt idx="50">
                  <c:v>39</c:v>
                </c:pt>
                <c:pt idx="51">
                  <c:v>49</c:v>
                </c:pt>
                <c:pt idx="52">
                  <c:v>2</c:v>
                </c:pt>
                <c:pt idx="53">
                  <c:v>1</c:v>
                </c:pt>
                <c:pt idx="54">
                  <c:v>44</c:v>
                </c:pt>
                <c:pt idx="55">
                  <c:v>11</c:v>
                </c:pt>
                <c:pt idx="56">
                  <c:v>38</c:v>
                </c:pt>
                <c:pt idx="57">
                  <c:v>6</c:v>
                </c:pt>
                <c:pt idx="58">
                  <c:v>48</c:v>
                </c:pt>
                <c:pt idx="59">
                  <c:v>6</c:v>
                </c:pt>
                <c:pt idx="60">
                  <c:v>20</c:v>
                </c:pt>
                <c:pt idx="61">
                  <c:v>26</c:v>
                </c:pt>
                <c:pt idx="62">
                  <c:v>41</c:v>
                </c:pt>
                <c:pt idx="63">
                  <c:v>11</c:v>
                </c:pt>
                <c:pt idx="64">
                  <c:v>23</c:v>
                </c:pt>
                <c:pt idx="65">
                  <c:v>7</c:v>
                </c:pt>
                <c:pt idx="66">
                  <c:v>49</c:v>
                </c:pt>
                <c:pt idx="67">
                  <c:v>12</c:v>
                </c:pt>
                <c:pt idx="68">
                  <c:v>9</c:v>
                </c:pt>
                <c:pt idx="69">
                  <c:v>48</c:v>
                </c:pt>
                <c:pt idx="70">
                  <c:v>33</c:v>
                </c:pt>
                <c:pt idx="71">
                  <c:v>49</c:v>
                </c:pt>
                <c:pt idx="72">
                  <c:v>40</c:v>
                </c:pt>
                <c:pt idx="73">
                  <c:v>25</c:v>
                </c:pt>
                <c:pt idx="74">
                  <c:v>18</c:v>
                </c:pt>
                <c:pt idx="75">
                  <c:v>35</c:v>
                </c:pt>
                <c:pt idx="76">
                  <c:v>36</c:v>
                </c:pt>
                <c:pt idx="77">
                  <c:v>14</c:v>
                </c:pt>
                <c:pt idx="78">
                  <c:v>3</c:v>
                </c:pt>
                <c:pt idx="79">
                  <c:v>22</c:v>
                </c:pt>
                <c:pt idx="80">
                  <c:v>8</c:v>
                </c:pt>
                <c:pt idx="81">
                  <c:v>21</c:v>
                </c:pt>
                <c:pt idx="82">
                  <c:v>33</c:v>
                </c:pt>
                <c:pt idx="83">
                  <c:v>48</c:v>
                </c:pt>
                <c:pt idx="84">
                  <c:v>49</c:v>
                </c:pt>
                <c:pt idx="85">
                  <c:v>29</c:v>
                </c:pt>
                <c:pt idx="86">
                  <c:v>35</c:v>
                </c:pt>
                <c:pt idx="87">
                  <c:v>24</c:v>
                </c:pt>
                <c:pt idx="88">
                  <c:v>31</c:v>
                </c:pt>
                <c:pt idx="89">
                  <c:v>21</c:v>
                </c:pt>
                <c:pt idx="90">
                  <c:v>18</c:v>
                </c:pt>
                <c:pt idx="91">
                  <c:v>3</c:v>
                </c:pt>
                <c:pt idx="92">
                  <c:v>22</c:v>
                </c:pt>
                <c:pt idx="93">
                  <c:v>27</c:v>
                </c:pt>
                <c:pt idx="94">
                  <c:v>17</c:v>
                </c:pt>
                <c:pt idx="95">
                  <c:v>43</c:v>
                </c:pt>
                <c:pt idx="96">
                  <c:v>26</c:v>
                </c:pt>
                <c:pt idx="97">
                  <c:v>7</c:v>
                </c:pt>
                <c:pt idx="98">
                  <c:v>20</c:v>
                </c:pt>
                <c:pt idx="99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EE-425A-89B0-EED401F4883E}"/>
            </c:ext>
          </c:extLst>
        </c:ser>
        <c:ser>
          <c:idx val="1"/>
          <c:order val="1"/>
          <c:tx>
            <c:strRef>
              <c:f>Sheet2!$O$5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Sheet2!$M$6:$M$105</c:f>
              <c:numCache>
                <c:formatCode>m/d/yyyy</c:formatCode>
                <c:ptCount val="10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  <c:pt idx="30">
                  <c:v>45322</c:v>
                </c:pt>
                <c:pt idx="31">
                  <c:v>45323</c:v>
                </c:pt>
                <c:pt idx="32">
                  <c:v>45324</c:v>
                </c:pt>
                <c:pt idx="33">
                  <c:v>45325</c:v>
                </c:pt>
                <c:pt idx="34">
                  <c:v>45326</c:v>
                </c:pt>
                <c:pt idx="35">
                  <c:v>45327</c:v>
                </c:pt>
                <c:pt idx="36">
                  <c:v>45328</c:v>
                </c:pt>
                <c:pt idx="37">
                  <c:v>45329</c:v>
                </c:pt>
                <c:pt idx="38">
                  <c:v>45330</c:v>
                </c:pt>
                <c:pt idx="39">
                  <c:v>45331</c:v>
                </c:pt>
                <c:pt idx="40">
                  <c:v>45332</c:v>
                </c:pt>
                <c:pt idx="41">
                  <c:v>45333</c:v>
                </c:pt>
                <c:pt idx="42">
                  <c:v>45334</c:v>
                </c:pt>
                <c:pt idx="43">
                  <c:v>45335</c:v>
                </c:pt>
                <c:pt idx="44">
                  <c:v>45336</c:v>
                </c:pt>
                <c:pt idx="45">
                  <c:v>45337</c:v>
                </c:pt>
                <c:pt idx="46">
                  <c:v>45338</c:v>
                </c:pt>
                <c:pt idx="47">
                  <c:v>45339</c:v>
                </c:pt>
                <c:pt idx="48">
                  <c:v>45340</c:v>
                </c:pt>
                <c:pt idx="49">
                  <c:v>45341</c:v>
                </c:pt>
                <c:pt idx="50">
                  <c:v>45342</c:v>
                </c:pt>
                <c:pt idx="51">
                  <c:v>45343</c:v>
                </c:pt>
                <c:pt idx="52">
                  <c:v>45344</c:v>
                </c:pt>
                <c:pt idx="53">
                  <c:v>45345</c:v>
                </c:pt>
                <c:pt idx="54">
                  <c:v>45346</c:v>
                </c:pt>
                <c:pt idx="55">
                  <c:v>45347</c:v>
                </c:pt>
                <c:pt idx="56">
                  <c:v>45348</c:v>
                </c:pt>
                <c:pt idx="57">
                  <c:v>45349</c:v>
                </c:pt>
                <c:pt idx="58">
                  <c:v>45350</c:v>
                </c:pt>
                <c:pt idx="59">
                  <c:v>45351</c:v>
                </c:pt>
                <c:pt idx="60">
                  <c:v>45352</c:v>
                </c:pt>
                <c:pt idx="61">
                  <c:v>45353</c:v>
                </c:pt>
                <c:pt idx="62">
                  <c:v>45354</c:v>
                </c:pt>
                <c:pt idx="63">
                  <c:v>45355</c:v>
                </c:pt>
                <c:pt idx="64">
                  <c:v>45356</c:v>
                </c:pt>
                <c:pt idx="65">
                  <c:v>45357</c:v>
                </c:pt>
                <c:pt idx="66">
                  <c:v>45358</c:v>
                </c:pt>
                <c:pt idx="67">
                  <c:v>45359</c:v>
                </c:pt>
                <c:pt idx="68">
                  <c:v>45360</c:v>
                </c:pt>
                <c:pt idx="69">
                  <c:v>45361</c:v>
                </c:pt>
                <c:pt idx="70">
                  <c:v>45362</c:v>
                </c:pt>
                <c:pt idx="71">
                  <c:v>45363</c:v>
                </c:pt>
                <c:pt idx="72">
                  <c:v>45364</c:v>
                </c:pt>
                <c:pt idx="73">
                  <c:v>45365</c:v>
                </c:pt>
                <c:pt idx="74">
                  <c:v>45366</c:v>
                </c:pt>
                <c:pt idx="75">
                  <c:v>45367</c:v>
                </c:pt>
                <c:pt idx="76">
                  <c:v>45368</c:v>
                </c:pt>
                <c:pt idx="77">
                  <c:v>45369</c:v>
                </c:pt>
                <c:pt idx="78">
                  <c:v>45370</c:v>
                </c:pt>
                <c:pt idx="79">
                  <c:v>45371</c:v>
                </c:pt>
                <c:pt idx="80">
                  <c:v>45372</c:v>
                </c:pt>
                <c:pt idx="81">
                  <c:v>45373</c:v>
                </c:pt>
                <c:pt idx="82">
                  <c:v>45374</c:v>
                </c:pt>
                <c:pt idx="83">
                  <c:v>45375</c:v>
                </c:pt>
                <c:pt idx="84">
                  <c:v>45376</c:v>
                </c:pt>
                <c:pt idx="85">
                  <c:v>45377</c:v>
                </c:pt>
                <c:pt idx="86">
                  <c:v>45378</c:v>
                </c:pt>
                <c:pt idx="87">
                  <c:v>45379</c:v>
                </c:pt>
                <c:pt idx="88">
                  <c:v>45380</c:v>
                </c:pt>
                <c:pt idx="89">
                  <c:v>45381</c:v>
                </c:pt>
                <c:pt idx="90">
                  <c:v>45382</c:v>
                </c:pt>
                <c:pt idx="91">
                  <c:v>45383</c:v>
                </c:pt>
                <c:pt idx="92">
                  <c:v>45384</c:v>
                </c:pt>
                <c:pt idx="93">
                  <c:v>45385</c:v>
                </c:pt>
                <c:pt idx="94">
                  <c:v>45386</c:v>
                </c:pt>
                <c:pt idx="95">
                  <c:v>45387</c:v>
                </c:pt>
                <c:pt idx="96">
                  <c:v>45388</c:v>
                </c:pt>
                <c:pt idx="97">
                  <c:v>45389</c:v>
                </c:pt>
                <c:pt idx="98">
                  <c:v>45390</c:v>
                </c:pt>
                <c:pt idx="99">
                  <c:v>45391</c:v>
                </c:pt>
              </c:numCache>
            </c:numRef>
          </c:cat>
          <c:val>
            <c:numRef>
              <c:f>Sheet2!$O$6:$O$105</c:f>
              <c:numCache>
                <c:formatCode>General</c:formatCode>
                <c:ptCount val="100"/>
                <c:pt idx="0">
                  <c:v>2098185</c:v>
                </c:pt>
                <c:pt idx="1">
                  <c:v>6136143</c:v>
                </c:pt>
                <c:pt idx="2">
                  <c:v>1182478</c:v>
                </c:pt>
                <c:pt idx="3">
                  <c:v>1866040</c:v>
                </c:pt>
                <c:pt idx="4">
                  <c:v>8323558</c:v>
                </c:pt>
                <c:pt idx="5">
                  <c:v>6757707</c:v>
                </c:pt>
                <c:pt idx="6">
                  <c:v>10739872</c:v>
                </c:pt>
                <c:pt idx="7">
                  <c:v>7119126</c:v>
                </c:pt>
                <c:pt idx="8">
                  <c:v>8781715</c:v>
                </c:pt>
                <c:pt idx="9">
                  <c:v>267276</c:v>
                </c:pt>
                <c:pt idx="10">
                  <c:v>4853310</c:v>
                </c:pt>
                <c:pt idx="11">
                  <c:v>3150574</c:v>
                </c:pt>
                <c:pt idx="12">
                  <c:v>2291848</c:v>
                </c:pt>
                <c:pt idx="13">
                  <c:v>479885</c:v>
                </c:pt>
                <c:pt idx="14">
                  <c:v>3502695</c:v>
                </c:pt>
                <c:pt idx="15">
                  <c:v>9621880</c:v>
                </c:pt>
                <c:pt idx="16">
                  <c:v>593718</c:v>
                </c:pt>
                <c:pt idx="17">
                  <c:v>5708070</c:v>
                </c:pt>
                <c:pt idx="18">
                  <c:v>9537836</c:v>
                </c:pt>
                <c:pt idx="19">
                  <c:v>6612408</c:v>
                </c:pt>
                <c:pt idx="20">
                  <c:v>9635360</c:v>
                </c:pt>
                <c:pt idx="21">
                  <c:v>1375596</c:v>
                </c:pt>
                <c:pt idx="22">
                  <c:v>2611980</c:v>
                </c:pt>
                <c:pt idx="23">
                  <c:v>1519350</c:v>
                </c:pt>
                <c:pt idx="24">
                  <c:v>6765748</c:v>
                </c:pt>
                <c:pt idx="25">
                  <c:v>3131927</c:v>
                </c:pt>
                <c:pt idx="26">
                  <c:v>1077978</c:v>
                </c:pt>
                <c:pt idx="27">
                  <c:v>3295695</c:v>
                </c:pt>
                <c:pt idx="28">
                  <c:v>454815</c:v>
                </c:pt>
                <c:pt idx="29">
                  <c:v>3601455</c:v>
                </c:pt>
                <c:pt idx="30">
                  <c:v>9433908</c:v>
                </c:pt>
                <c:pt idx="31">
                  <c:v>249090</c:v>
                </c:pt>
                <c:pt idx="32">
                  <c:v>2496732</c:v>
                </c:pt>
                <c:pt idx="33">
                  <c:v>3088956</c:v>
                </c:pt>
                <c:pt idx="34">
                  <c:v>3571890</c:v>
                </c:pt>
                <c:pt idx="35">
                  <c:v>910195</c:v>
                </c:pt>
                <c:pt idx="36">
                  <c:v>3454048</c:v>
                </c:pt>
                <c:pt idx="37">
                  <c:v>8077524</c:v>
                </c:pt>
                <c:pt idx="38">
                  <c:v>7448112</c:v>
                </c:pt>
                <c:pt idx="39">
                  <c:v>3814162</c:v>
                </c:pt>
                <c:pt idx="40">
                  <c:v>8713305</c:v>
                </c:pt>
                <c:pt idx="41">
                  <c:v>1476450</c:v>
                </c:pt>
                <c:pt idx="42">
                  <c:v>418517</c:v>
                </c:pt>
                <c:pt idx="43">
                  <c:v>4845344</c:v>
                </c:pt>
                <c:pt idx="44">
                  <c:v>5736015</c:v>
                </c:pt>
                <c:pt idx="45">
                  <c:v>6582386</c:v>
                </c:pt>
                <c:pt idx="46">
                  <c:v>9197312</c:v>
                </c:pt>
                <c:pt idx="47">
                  <c:v>9559924</c:v>
                </c:pt>
                <c:pt idx="48">
                  <c:v>7901152</c:v>
                </c:pt>
                <c:pt idx="49">
                  <c:v>2908297</c:v>
                </c:pt>
                <c:pt idx="50">
                  <c:v>9381294</c:v>
                </c:pt>
                <c:pt idx="51">
                  <c:v>5549936</c:v>
                </c:pt>
                <c:pt idx="52">
                  <c:v>265718</c:v>
                </c:pt>
                <c:pt idx="53">
                  <c:v>197789</c:v>
                </c:pt>
                <c:pt idx="54">
                  <c:v>6408908</c:v>
                </c:pt>
                <c:pt idx="55">
                  <c:v>1427261</c:v>
                </c:pt>
                <c:pt idx="56">
                  <c:v>8319530</c:v>
                </c:pt>
                <c:pt idx="57">
                  <c:v>654270</c:v>
                </c:pt>
                <c:pt idx="58">
                  <c:v>2048208</c:v>
                </c:pt>
                <c:pt idx="59">
                  <c:v>429978</c:v>
                </c:pt>
                <c:pt idx="60">
                  <c:v>3077660</c:v>
                </c:pt>
                <c:pt idx="61">
                  <c:v>1423604</c:v>
                </c:pt>
                <c:pt idx="62">
                  <c:v>4300736</c:v>
                </c:pt>
                <c:pt idx="63">
                  <c:v>309705</c:v>
                </c:pt>
                <c:pt idx="64">
                  <c:v>964114</c:v>
                </c:pt>
                <c:pt idx="65">
                  <c:v>467901</c:v>
                </c:pt>
                <c:pt idx="66">
                  <c:v>7502929</c:v>
                </c:pt>
                <c:pt idx="67">
                  <c:v>491184</c:v>
                </c:pt>
                <c:pt idx="68">
                  <c:v>246600</c:v>
                </c:pt>
                <c:pt idx="69">
                  <c:v>9718992</c:v>
                </c:pt>
                <c:pt idx="70">
                  <c:v>1062039</c:v>
                </c:pt>
                <c:pt idx="71">
                  <c:v>2582839</c:v>
                </c:pt>
                <c:pt idx="72">
                  <c:v>8493560</c:v>
                </c:pt>
                <c:pt idx="73">
                  <c:v>5827250</c:v>
                </c:pt>
                <c:pt idx="74">
                  <c:v>3564846</c:v>
                </c:pt>
                <c:pt idx="75">
                  <c:v>7427245</c:v>
                </c:pt>
                <c:pt idx="76">
                  <c:v>3969792</c:v>
                </c:pt>
                <c:pt idx="77">
                  <c:v>1559768</c:v>
                </c:pt>
                <c:pt idx="78">
                  <c:v>319248</c:v>
                </c:pt>
                <c:pt idx="79">
                  <c:v>876260</c:v>
                </c:pt>
                <c:pt idx="80">
                  <c:v>1366480</c:v>
                </c:pt>
                <c:pt idx="81">
                  <c:v>1554945</c:v>
                </c:pt>
                <c:pt idx="82">
                  <c:v>8109156</c:v>
                </c:pt>
                <c:pt idx="83">
                  <c:v>3154272</c:v>
                </c:pt>
                <c:pt idx="84">
                  <c:v>6173167</c:v>
                </c:pt>
                <c:pt idx="85">
                  <c:v>2986681</c:v>
                </c:pt>
                <c:pt idx="86">
                  <c:v>6429745</c:v>
                </c:pt>
                <c:pt idx="87">
                  <c:v>562080</c:v>
                </c:pt>
                <c:pt idx="88">
                  <c:v>6736517</c:v>
                </c:pt>
                <c:pt idx="89">
                  <c:v>548142</c:v>
                </c:pt>
                <c:pt idx="90">
                  <c:v>3341808</c:v>
                </c:pt>
                <c:pt idx="91">
                  <c:v>608871</c:v>
                </c:pt>
                <c:pt idx="92">
                  <c:v>837540</c:v>
                </c:pt>
                <c:pt idx="93">
                  <c:v>829683</c:v>
                </c:pt>
                <c:pt idx="94">
                  <c:v>3039991</c:v>
                </c:pt>
                <c:pt idx="95">
                  <c:v>9853063</c:v>
                </c:pt>
                <c:pt idx="96">
                  <c:v>5253690</c:v>
                </c:pt>
                <c:pt idx="97">
                  <c:v>1686888</c:v>
                </c:pt>
                <c:pt idx="98">
                  <c:v>447360</c:v>
                </c:pt>
                <c:pt idx="99">
                  <c:v>3313058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EE-425A-89B0-EED401F488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1430304"/>
        <c:axId val="741429344"/>
      </c:lineChart>
      <c:dateAx>
        <c:axId val="74143030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429344"/>
        <c:crosses val="autoZero"/>
        <c:auto val="1"/>
        <c:lblOffset val="100"/>
        <c:baseTimeUnit val="days"/>
      </c:dateAx>
      <c:valAx>
        <c:axId val="741429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430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Pie</a:t>
            </a:r>
            <a:r>
              <a:rPr lang="en-US" baseline="0"/>
              <a:t> Chart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Sheet2!$AA$5</c:f>
              <c:strCache>
                <c:ptCount val="1"/>
                <c:pt idx="0">
                  <c:v>units_sold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DB3-4146-982C-849793E6980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DB3-4146-982C-849793E6980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DB3-4146-982C-849793E6980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DB3-4146-982C-849793E6980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DB3-4146-982C-849793E6980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DB3-4146-982C-849793E6980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3DB3-4146-982C-849793E6980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3DB3-4146-982C-849793E6980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3DB3-4146-982C-849793E6980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3DB3-4146-982C-849793E6980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3DB3-4146-982C-849793E6980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3DB3-4146-982C-849793E6980C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3DB3-4146-982C-849793E6980C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B-3DB3-4146-982C-849793E6980C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D-3DB3-4146-982C-849793E6980C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F-3DB3-4146-982C-849793E6980C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1-3DB3-4146-982C-849793E6980C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3-3DB3-4146-982C-849793E6980C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5-3DB3-4146-982C-849793E6980C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7-3DB3-4146-982C-849793E6980C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9-3DB3-4146-982C-849793E6980C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B-3DB3-4146-982C-849793E6980C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D-3DB3-4146-982C-849793E6980C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F-3DB3-4146-982C-849793E6980C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1-3DB3-4146-982C-849793E6980C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3-3DB3-4146-982C-849793E6980C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5-3DB3-4146-982C-849793E6980C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7-3DB3-4146-982C-849793E6980C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9-3DB3-4146-982C-849793E6980C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B-3DB3-4146-982C-849793E6980C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D-3DB3-4146-982C-849793E6980C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F-3DB3-4146-982C-849793E6980C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1-3DB3-4146-982C-849793E6980C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3-3DB3-4146-982C-849793E6980C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5-3DB3-4146-982C-849793E6980C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7-3DB3-4146-982C-849793E6980C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9-3DB3-4146-982C-849793E6980C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B-3DB3-4146-982C-849793E6980C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D-3DB3-4146-982C-849793E6980C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F-3DB3-4146-982C-849793E6980C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1-3DB3-4146-982C-849793E6980C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3-3DB3-4146-982C-849793E6980C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5-3DB3-4146-982C-849793E6980C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7-3DB3-4146-982C-849793E6980C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9-3DB3-4146-982C-849793E6980C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B-3DB3-4146-982C-849793E6980C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D-3DB3-4146-982C-849793E6980C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F-3DB3-4146-982C-849793E6980C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1-3DB3-4146-982C-849793E6980C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3-3DB3-4146-982C-849793E6980C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5-3DB3-4146-982C-849793E6980C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7-3DB3-4146-982C-849793E6980C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9-3DB3-4146-982C-849793E6980C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B-3DB3-4146-982C-849793E6980C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D-3DB3-4146-982C-849793E6980C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F-3DB3-4146-982C-849793E6980C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1-3DB3-4146-982C-849793E6980C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3-3DB3-4146-982C-849793E6980C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5-3DB3-4146-982C-849793E6980C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7-3DB3-4146-982C-849793E6980C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9-3DB3-4146-982C-849793E6980C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B-3DB3-4146-982C-849793E6980C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D-3DB3-4146-982C-849793E6980C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F-3DB3-4146-982C-849793E6980C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1-3DB3-4146-982C-849793E6980C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3-3DB3-4146-982C-849793E6980C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5-3DB3-4146-982C-849793E6980C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7-3DB3-4146-982C-849793E6980C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9-3DB3-4146-982C-849793E6980C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B-3DB3-4146-982C-849793E6980C}"/>
              </c:ext>
            </c:extLst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D-3DB3-4146-982C-849793E6980C}"/>
              </c:ext>
            </c:extLst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F-3DB3-4146-982C-849793E6980C}"/>
              </c:ext>
            </c:extLst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1-3DB3-4146-982C-849793E6980C}"/>
              </c:ext>
            </c:extLst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3-3DB3-4146-982C-849793E6980C}"/>
              </c:ext>
            </c:extLst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5-3DB3-4146-982C-849793E6980C}"/>
              </c:ext>
            </c:extLst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7-3DB3-4146-982C-849793E6980C}"/>
              </c:ext>
            </c:extLst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9-3DB3-4146-982C-849793E6980C}"/>
              </c:ext>
            </c:extLst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B-3DB3-4146-982C-849793E6980C}"/>
              </c:ext>
            </c:extLst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D-3DB3-4146-982C-849793E6980C}"/>
              </c:ext>
            </c:extLst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F-3DB3-4146-982C-849793E6980C}"/>
              </c:ext>
            </c:extLst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1-3DB3-4146-982C-849793E6980C}"/>
              </c:ext>
            </c:extLst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3-3DB3-4146-982C-849793E6980C}"/>
              </c:ext>
            </c:extLst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5-3DB3-4146-982C-849793E6980C}"/>
              </c:ext>
            </c:extLst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7-3DB3-4146-982C-849793E6980C}"/>
              </c:ext>
            </c:extLst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9-3DB3-4146-982C-849793E6980C}"/>
              </c:ext>
            </c:extLst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B-3DB3-4146-982C-849793E6980C}"/>
              </c:ext>
            </c:extLst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D-3DB3-4146-982C-849793E6980C}"/>
              </c:ext>
            </c:extLst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F-3DB3-4146-982C-849793E6980C}"/>
              </c:ext>
            </c:extLst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1-3DB3-4146-982C-849793E6980C}"/>
              </c:ext>
            </c:extLst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3-3DB3-4146-982C-849793E6980C}"/>
              </c:ext>
            </c:extLst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5-3DB3-4146-982C-849793E6980C}"/>
              </c:ext>
            </c:extLst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7-3DB3-4146-982C-849793E6980C}"/>
              </c:ext>
            </c:extLst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9-3DB3-4146-982C-849793E6980C}"/>
              </c:ext>
            </c:extLst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B-3DB3-4146-982C-849793E6980C}"/>
              </c:ext>
            </c:extLst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D-3DB3-4146-982C-849793E6980C}"/>
              </c:ext>
            </c:extLst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F-3DB3-4146-982C-849793E6980C}"/>
              </c:ext>
            </c:extLst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1-3DB3-4146-982C-849793E6980C}"/>
              </c:ext>
            </c:extLst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3-3DB3-4146-982C-849793E6980C}"/>
              </c:ext>
            </c:extLst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5-3DB3-4146-982C-849793E6980C}"/>
              </c:ext>
            </c:extLst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7-3DB3-4146-982C-849793E6980C}"/>
              </c:ext>
            </c:extLst>
          </c:dPt>
          <c:cat>
            <c:strRef>
              <c:f>Sheet2!$Z$6:$Z$105</c:f>
              <c:strCache>
                <c:ptCount val="100"/>
                <c:pt idx="0">
                  <c:v>Dress</c:v>
                </c:pt>
                <c:pt idx="1">
                  <c:v>Aksesoris</c:v>
                </c:pt>
                <c:pt idx="2">
                  <c:v>Outerwear</c:v>
                </c:pt>
                <c:pt idx="3">
                  <c:v>Aksesoris</c:v>
                </c:pt>
                <c:pt idx="4">
                  <c:v>Celana</c:v>
                </c:pt>
                <c:pt idx="5">
                  <c:v>Dress</c:v>
                </c:pt>
                <c:pt idx="6">
                  <c:v>Celana</c:v>
                </c:pt>
                <c:pt idx="7">
                  <c:v>Atasan</c:v>
                </c:pt>
                <c:pt idx="8">
                  <c:v>Dress</c:v>
                </c:pt>
                <c:pt idx="9">
                  <c:v>Outerwear</c:v>
                </c:pt>
                <c:pt idx="10">
                  <c:v>Outerwear</c:v>
                </c:pt>
                <c:pt idx="11">
                  <c:v>Celana</c:v>
                </c:pt>
                <c:pt idx="12">
                  <c:v>Celana</c:v>
                </c:pt>
                <c:pt idx="13">
                  <c:v>Celana</c:v>
                </c:pt>
                <c:pt idx="14">
                  <c:v>Aksesoris</c:v>
                </c:pt>
                <c:pt idx="15">
                  <c:v>Atasan</c:v>
                </c:pt>
                <c:pt idx="16">
                  <c:v>Celana</c:v>
                </c:pt>
                <c:pt idx="17">
                  <c:v>Dress</c:v>
                </c:pt>
                <c:pt idx="18">
                  <c:v>Celana</c:v>
                </c:pt>
                <c:pt idx="19">
                  <c:v>Celana</c:v>
                </c:pt>
                <c:pt idx="20">
                  <c:v>Dress</c:v>
                </c:pt>
                <c:pt idx="21">
                  <c:v>Aksesoris</c:v>
                </c:pt>
                <c:pt idx="22">
                  <c:v>Celana</c:v>
                </c:pt>
                <c:pt idx="23">
                  <c:v>Aksesoris</c:v>
                </c:pt>
                <c:pt idx="24">
                  <c:v>Atasan</c:v>
                </c:pt>
                <c:pt idx="25">
                  <c:v>Outerwear</c:v>
                </c:pt>
                <c:pt idx="26">
                  <c:v>Outerwear</c:v>
                </c:pt>
                <c:pt idx="27">
                  <c:v>Aksesoris</c:v>
                </c:pt>
                <c:pt idx="28">
                  <c:v>Atasan</c:v>
                </c:pt>
                <c:pt idx="29">
                  <c:v>Dress</c:v>
                </c:pt>
                <c:pt idx="30">
                  <c:v>Aksesoris</c:v>
                </c:pt>
                <c:pt idx="31">
                  <c:v>Outerwear</c:v>
                </c:pt>
                <c:pt idx="32">
                  <c:v>Aksesoris</c:v>
                </c:pt>
                <c:pt idx="33">
                  <c:v>Atasan</c:v>
                </c:pt>
                <c:pt idx="34">
                  <c:v>Outerwear</c:v>
                </c:pt>
                <c:pt idx="35">
                  <c:v>Celana</c:v>
                </c:pt>
                <c:pt idx="36">
                  <c:v>Atasan</c:v>
                </c:pt>
                <c:pt idx="37">
                  <c:v>Aksesoris</c:v>
                </c:pt>
                <c:pt idx="38">
                  <c:v>Outerwear</c:v>
                </c:pt>
                <c:pt idx="39">
                  <c:v>Outerwear</c:v>
                </c:pt>
                <c:pt idx="40">
                  <c:v>Celana</c:v>
                </c:pt>
                <c:pt idx="41">
                  <c:v>Atasan</c:v>
                </c:pt>
                <c:pt idx="42">
                  <c:v>Dress</c:v>
                </c:pt>
                <c:pt idx="43">
                  <c:v>Celana</c:v>
                </c:pt>
                <c:pt idx="44">
                  <c:v>Atasan</c:v>
                </c:pt>
                <c:pt idx="45">
                  <c:v>Atasan</c:v>
                </c:pt>
                <c:pt idx="46">
                  <c:v>Outerwear</c:v>
                </c:pt>
                <c:pt idx="47">
                  <c:v>Outerwear</c:v>
                </c:pt>
                <c:pt idx="48">
                  <c:v>Outerwear</c:v>
                </c:pt>
                <c:pt idx="49">
                  <c:v>Atasan</c:v>
                </c:pt>
                <c:pt idx="50">
                  <c:v>Dress</c:v>
                </c:pt>
                <c:pt idx="51">
                  <c:v>Atasan</c:v>
                </c:pt>
                <c:pt idx="52">
                  <c:v>Outerwear</c:v>
                </c:pt>
                <c:pt idx="53">
                  <c:v>Aksesoris</c:v>
                </c:pt>
                <c:pt idx="54">
                  <c:v>Celana</c:v>
                </c:pt>
                <c:pt idx="55">
                  <c:v>Dress</c:v>
                </c:pt>
                <c:pt idx="56">
                  <c:v>Outerwear</c:v>
                </c:pt>
                <c:pt idx="57">
                  <c:v>Aksesoris</c:v>
                </c:pt>
                <c:pt idx="58">
                  <c:v>Outerwear</c:v>
                </c:pt>
                <c:pt idx="59">
                  <c:v>Atasan</c:v>
                </c:pt>
                <c:pt idx="60">
                  <c:v>Aksesoris</c:v>
                </c:pt>
                <c:pt idx="61">
                  <c:v>Outerwear</c:v>
                </c:pt>
                <c:pt idx="62">
                  <c:v>Outerwear</c:v>
                </c:pt>
                <c:pt idx="63">
                  <c:v>Celana</c:v>
                </c:pt>
                <c:pt idx="64">
                  <c:v>Atasan</c:v>
                </c:pt>
                <c:pt idx="65">
                  <c:v>Celana</c:v>
                </c:pt>
                <c:pt idx="66">
                  <c:v>Celana</c:v>
                </c:pt>
                <c:pt idx="67">
                  <c:v>Atasan</c:v>
                </c:pt>
                <c:pt idx="68">
                  <c:v>Aksesoris</c:v>
                </c:pt>
                <c:pt idx="69">
                  <c:v>Outerwear</c:v>
                </c:pt>
                <c:pt idx="70">
                  <c:v>Outerwear</c:v>
                </c:pt>
                <c:pt idx="71">
                  <c:v>Dress</c:v>
                </c:pt>
                <c:pt idx="72">
                  <c:v>Dress</c:v>
                </c:pt>
                <c:pt idx="73">
                  <c:v>Outerwear</c:v>
                </c:pt>
                <c:pt idx="74">
                  <c:v>Atasan</c:v>
                </c:pt>
                <c:pt idx="75">
                  <c:v>Celana</c:v>
                </c:pt>
                <c:pt idx="76">
                  <c:v>Aksesoris</c:v>
                </c:pt>
                <c:pt idx="77">
                  <c:v>Dress</c:v>
                </c:pt>
                <c:pt idx="78">
                  <c:v>Dress</c:v>
                </c:pt>
                <c:pt idx="79">
                  <c:v>Atasan</c:v>
                </c:pt>
                <c:pt idx="80">
                  <c:v>Aksesoris</c:v>
                </c:pt>
                <c:pt idx="81">
                  <c:v>Outerwear</c:v>
                </c:pt>
                <c:pt idx="82">
                  <c:v>Atasan</c:v>
                </c:pt>
                <c:pt idx="83">
                  <c:v>Dress</c:v>
                </c:pt>
                <c:pt idx="84">
                  <c:v>Dress</c:v>
                </c:pt>
                <c:pt idx="85">
                  <c:v>Atasan</c:v>
                </c:pt>
                <c:pt idx="86">
                  <c:v>Aksesoris</c:v>
                </c:pt>
                <c:pt idx="87">
                  <c:v>Atasan</c:v>
                </c:pt>
                <c:pt idx="88">
                  <c:v>Atasan</c:v>
                </c:pt>
                <c:pt idx="89">
                  <c:v>Atasan</c:v>
                </c:pt>
                <c:pt idx="90">
                  <c:v>Atasan</c:v>
                </c:pt>
                <c:pt idx="91">
                  <c:v>Celana</c:v>
                </c:pt>
                <c:pt idx="92">
                  <c:v>Celana</c:v>
                </c:pt>
                <c:pt idx="93">
                  <c:v>Celana</c:v>
                </c:pt>
                <c:pt idx="94">
                  <c:v>Celana</c:v>
                </c:pt>
                <c:pt idx="95">
                  <c:v>Atasan</c:v>
                </c:pt>
                <c:pt idx="96">
                  <c:v>Aksesoris</c:v>
                </c:pt>
                <c:pt idx="97">
                  <c:v>Atasan</c:v>
                </c:pt>
                <c:pt idx="98">
                  <c:v>Dress</c:v>
                </c:pt>
                <c:pt idx="99">
                  <c:v>Dress</c:v>
                </c:pt>
              </c:strCache>
            </c:strRef>
          </c:cat>
          <c:val>
            <c:numRef>
              <c:f>Sheet2!$AA$6:$AA$105</c:f>
              <c:numCache>
                <c:formatCode>General</c:formatCode>
                <c:ptCount val="100"/>
                <c:pt idx="0">
                  <c:v>15</c:v>
                </c:pt>
                <c:pt idx="1">
                  <c:v>39</c:v>
                </c:pt>
                <c:pt idx="2">
                  <c:v>11</c:v>
                </c:pt>
                <c:pt idx="3">
                  <c:v>22</c:v>
                </c:pt>
                <c:pt idx="4">
                  <c:v>38</c:v>
                </c:pt>
                <c:pt idx="5">
                  <c:v>33</c:v>
                </c:pt>
                <c:pt idx="6">
                  <c:v>44</c:v>
                </c:pt>
                <c:pt idx="7">
                  <c:v>42</c:v>
                </c:pt>
                <c:pt idx="8">
                  <c:v>47</c:v>
                </c:pt>
                <c:pt idx="9">
                  <c:v>3</c:v>
                </c:pt>
                <c:pt idx="10">
                  <c:v>21</c:v>
                </c:pt>
                <c:pt idx="11">
                  <c:v>14</c:v>
                </c:pt>
                <c:pt idx="12">
                  <c:v>26</c:v>
                </c:pt>
                <c:pt idx="13">
                  <c:v>7</c:v>
                </c:pt>
                <c:pt idx="14">
                  <c:v>35</c:v>
                </c:pt>
                <c:pt idx="15">
                  <c:v>40</c:v>
                </c:pt>
                <c:pt idx="16">
                  <c:v>6</c:v>
                </c:pt>
                <c:pt idx="17">
                  <c:v>29</c:v>
                </c:pt>
                <c:pt idx="18">
                  <c:v>44</c:v>
                </c:pt>
                <c:pt idx="19">
                  <c:v>36</c:v>
                </c:pt>
                <c:pt idx="20">
                  <c:v>40</c:v>
                </c:pt>
                <c:pt idx="21">
                  <c:v>47</c:v>
                </c:pt>
                <c:pt idx="22">
                  <c:v>45</c:v>
                </c:pt>
                <c:pt idx="23">
                  <c:v>25</c:v>
                </c:pt>
                <c:pt idx="24">
                  <c:v>44</c:v>
                </c:pt>
                <c:pt idx="25">
                  <c:v>17</c:v>
                </c:pt>
                <c:pt idx="26">
                  <c:v>33</c:v>
                </c:pt>
                <c:pt idx="27">
                  <c:v>39</c:v>
                </c:pt>
                <c:pt idx="28">
                  <c:v>9</c:v>
                </c:pt>
                <c:pt idx="29">
                  <c:v>33</c:v>
                </c:pt>
                <c:pt idx="30">
                  <c:v>44</c:v>
                </c:pt>
                <c:pt idx="31">
                  <c:v>1</c:v>
                </c:pt>
                <c:pt idx="32">
                  <c:v>14</c:v>
                </c:pt>
                <c:pt idx="33">
                  <c:v>26</c:v>
                </c:pt>
                <c:pt idx="34">
                  <c:v>15</c:v>
                </c:pt>
                <c:pt idx="35">
                  <c:v>13</c:v>
                </c:pt>
                <c:pt idx="36">
                  <c:v>32</c:v>
                </c:pt>
                <c:pt idx="37">
                  <c:v>39</c:v>
                </c:pt>
                <c:pt idx="38">
                  <c:v>36</c:v>
                </c:pt>
                <c:pt idx="39">
                  <c:v>22</c:v>
                </c:pt>
                <c:pt idx="40">
                  <c:v>45</c:v>
                </c:pt>
                <c:pt idx="41">
                  <c:v>6</c:v>
                </c:pt>
                <c:pt idx="42">
                  <c:v>11</c:v>
                </c:pt>
                <c:pt idx="43">
                  <c:v>28</c:v>
                </c:pt>
                <c:pt idx="44">
                  <c:v>27</c:v>
                </c:pt>
                <c:pt idx="45">
                  <c:v>41</c:v>
                </c:pt>
                <c:pt idx="46">
                  <c:v>37</c:v>
                </c:pt>
                <c:pt idx="47">
                  <c:v>44</c:v>
                </c:pt>
                <c:pt idx="48">
                  <c:v>32</c:v>
                </c:pt>
                <c:pt idx="49">
                  <c:v>49</c:v>
                </c:pt>
                <c:pt idx="50">
                  <c:v>39</c:v>
                </c:pt>
                <c:pt idx="51">
                  <c:v>49</c:v>
                </c:pt>
                <c:pt idx="52">
                  <c:v>2</c:v>
                </c:pt>
                <c:pt idx="53">
                  <c:v>1</c:v>
                </c:pt>
                <c:pt idx="54">
                  <c:v>44</c:v>
                </c:pt>
                <c:pt idx="55">
                  <c:v>11</c:v>
                </c:pt>
                <c:pt idx="56">
                  <c:v>38</c:v>
                </c:pt>
                <c:pt idx="57">
                  <c:v>6</c:v>
                </c:pt>
                <c:pt idx="58">
                  <c:v>48</c:v>
                </c:pt>
                <c:pt idx="59">
                  <c:v>6</c:v>
                </c:pt>
                <c:pt idx="60">
                  <c:v>20</c:v>
                </c:pt>
                <c:pt idx="61">
                  <c:v>26</c:v>
                </c:pt>
                <c:pt idx="62">
                  <c:v>41</c:v>
                </c:pt>
                <c:pt idx="63">
                  <c:v>11</c:v>
                </c:pt>
                <c:pt idx="64">
                  <c:v>23</c:v>
                </c:pt>
                <c:pt idx="65">
                  <c:v>7</c:v>
                </c:pt>
                <c:pt idx="66">
                  <c:v>49</c:v>
                </c:pt>
                <c:pt idx="67">
                  <c:v>12</c:v>
                </c:pt>
                <c:pt idx="68">
                  <c:v>9</c:v>
                </c:pt>
                <c:pt idx="69">
                  <c:v>48</c:v>
                </c:pt>
                <c:pt idx="70">
                  <c:v>33</c:v>
                </c:pt>
                <c:pt idx="71">
                  <c:v>49</c:v>
                </c:pt>
                <c:pt idx="72">
                  <c:v>40</c:v>
                </c:pt>
                <c:pt idx="73">
                  <c:v>25</c:v>
                </c:pt>
                <c:pt idx="74">
                  <c:v>18</c:v>
                </c:pt>
                <c:pt idx="75">
                  <c:v>35</c:v>
                </c:pt>
                <c:pt idx="76">
                  <c:v>36</c:v>
                </c:pt>
                <c:pt idx="77">
                  <c:v>14</c:v>
                </c:pt>
                <c:pt idx="78">
                  <c:v>3</c:v>
                </c:pt>
                <c:pt idx="79">
                  <c:v>22</c:v>
                </c:pt>
                <c:pt idx="80">
                  <c:v>8</c:v>
                </c:pt>
                <c:pt idx="81">
                  <c:v>21</c:v>
                </c:pt>
                <c:pt idx="82">
                  <c:v>33</c:v>
                </c:pt>
                <c:pt idx="83">
                  <c:v>48</c:v>
                </c:pt>
                <c:pt idx="84">
                  <c:v>49</c:v>
                </c:pt>
                <c:pt idx="85">
                  <c:v>29</c:v>
                </c:pt>
                <c:pt idx="86">
                  <c:v>35</c:v>
                </c:pt>
                <c:pt idx="87">
                  <c:v>24</c:v>
                </c:pt>
                <c:pt idx="88">
                  <c:v>31</c:v>
                </c:pt>
                <c:pt idx="89">
                  <c:v>21</c:v>
                </c:pt>
                <c:pt idx="90">
                  <c:v>18</c:v>
                </c:pt>
                <c:pt idx="91">
                  <c:v>3</c:v>
                </c:pt>
                <c:pt idx="92">
                  <c:v>22</c:v>
                </c:pt>
                <c:pt idx="93">
                  <c:v>27</c:v>
                </c:pt>
                <c:pt idx="94">
                  <c:v>17</c:v>
                </c:pt>
                <c:pt idx="95">
                  <c:v>43</c:v>
                </c:pt>
                <c:pt idx="96">
                  <c:v>26</c:v>
                </c:pt>
                <c:pt idx="97">
                  <c:v>7</c:v>
                </c:pt>
                <c:pt idx="98">
                  <c:v>20</c:v>
                </c:pt>
                <c:pt idx="99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C0-4470-B3B9-550F722859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Scatter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Sheet2!$AM$5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Sheet2!$AL$6:$AL$105</c:f>
              <c:numCache>
                <c:formatCode>General</c:formatCode>
                <c:ptCount val="100"/>
                <c:pt idx="0">
                  <c:v>15</c:v>
                </c:pt>
                <c:pt idx="1">
                  <c:v>39</c:v>
                </c:pt>
                <c:pt idx="2">
                  <c:v>11</c:v>
                </c:pt>
                <c:pt idx="3">
                  <c:v>22</c:v>
                </c:pt>
                <c:pt idx="4">
                  <c:v>38</c:v>
                </c:pt>
                <c:pt idx="5">
                  <c:v>33</c:v>
                </c:pt>
                <c:pt idx="6">
                  <c:v>44</c:v>
                </c:pt>
                <c:pt idx="7">
                  <c:v>42</c:v>
                </c:pt>
                <c:pt idx="8">
                  <c:v>47</c:v>
                </c:pt>
                <c:pt idx="9">
                  <c:v>3</c:v>
                </c:pt>
                <c:pt idx="10">
                  <c:v>21</c:v>
                </c:pt>
                <c:pt idx="11">
                  <c:v>14</c:v>
                </c:pt>
                <c:pt idx="12">
                  <c:v>26</c:v>
                </c:pt>
                <c:pt idx="13">
                  <c:v>7</c:v>
                </c:pt>
                <c:pt idx="14">
                  <c:v>35</c:v>
                </c:pt>
                <c:pt idx="15">
                  <c:v>40</c:v>
                </c:pt>
                <c:pt idx="16">
                  <c:v>6</c:v>
                </c:pt>
                <c:pt idx="17">
                  <c:v>29</c:v>
                </c:pt>
                <c:pt idx="18">
                  <c:v>44</c:v>
                </c:pt>
                <c:pt idx="19">
                  <c:v>36</c:v>
                </c:pt>
                <c:pt idx="20">
                  <c:v>40</c:v>
                </c:pt>
                <c:pt idx="21">
                  <c:v>47</c:v>
                </c:pt>
                <c:pt idx="22">
                  <c:v>45</c:v>
                </c:pt>
                <c:pt idx="23">
                  <c:v>25</c:v>
                </c:pt>
                <c:pt idx="24">
                  <c:v>44</c:v>
                </c:pt>
                <c:pt idx="25">
                  <c:v>17</c:v>
                </c:pt>
                <c:pt idx="26">
                  <c:v>33</c:v>
                </c:pt>
                <c:pt idx="27">
                  <c:v>39</c:v>
                </c:pt>
                <c:pt idx="28">
                  <c:v>9</c:v>
                </c:pt>
                <c:pt idx="29">
                  <c:v>33</c:v>
                </c:pt>
                <c:pt idx="30">
                  <c:v>44</c:v>
                </c:pt>
                <c:pt idx="31">
                  <c:v>1</c:v>
                </c:pt>
                <c:pt idx="32">
                  <c:v>14</c:v>
                </c:pt>
                <c:pt idx="33">
                  <c:v>26</c:v>
                </c:pt>
                <c:pt idx="34">
                  <c:v>15</c:v>
                </c:pt>
                <c:pt idx="35">
                  <c:v>13</c:v>
                </c:pt>
                <c:pt idx="36">
                  <c:v>32</c:v>
                </c:pt>
                <c:pt idx="37">
                  <c:v>39</c:v>
                </c:pt>
                <c:pt idx="38">
                  <c:v>36</c:v>
                </c:pt>
                <c:pt idx="39">
                  <c:v>22</c:v>
                </c:pt>
                <c:pt idx="40">
                  <c:v>45</c:v>
                </c:pt>
                <c:pt idx="41">
                  <c:v>6</c:v>
                </c:pt>
                <c:pt idx="42">
                  <c:v>11</c:v>
                </c:pt>
                <c:pt idx="43">
                  <c:v>28</c:v>
                </c:pt>
                <c:pt idx="44">
                  <c:v>27</c:v>
                </c:pt>
                <c:pt idx="45">
                  <c:v>41</c:v>
                </c:pt>
                <c:pt idx="46">
                  <c:v>37</c:v>
                </c:pt>
                <c:pt idx="47">
                  <c:v>44</c:v>
                </c:pt>
                <c:pt idx="48">
                  <c:v>32</c:v>
                </c:pt>
                <c:pt idx="49">
                  <c:v>49</c:v>
                </c:pt>
                <c:pt idx="50">
                  <c:v>39</c:v>
                </c:pt>
                <c:pt idx="51">
                  <c:v>49</c:v>
                </c:pt>
                <c:pt idx="52">
                  <c:v>2</c:v>
                </c:pt>
                <c:pt idx="53">
                  <c:v>1</c:v>
                </c:pt>
                <c:pt idx="54">
                  <c:v>44</c:v>
                </c:pt>
                <c:pt idx="55">
                  <c:v>11</c:v>
                </c:pt>
                <c:pt idx="56">
                  <c:v>38</c:v>
                </c:pt>
                <c:pt idx="57">
                  <c:v>6</c:v>
                </c:pt>
                <c:pt idx="58">
                  <c:v>48</c:v>
                </c:pt>
                <c:pt idx="59">
                  <c:v>6</c:v>
                </c:pt>
                <c:pt idx="60">
                  <c:v>20</c:v>
                </c:pt>
                <c:pt idx="61">
                  <c:v>26</c:v>
                </c:pt>
                <c:pt idx="62">
                  <c:v>41</c:v>
                </c:pt>
                <c:pt idx="63">
                  <c:v>11</c:v>
                </c:pt>
                <c:pt idx="64">
                  <c:v>23</c:v>
                </c:pt>
                <c:pt idx="65">
                  <c:v>7</c:v>
                </c:pt>
                <c:pt idx="66">
                  <c:v>49</c:v>
                </c:pt>
                <c:pt idx="67">
                  <c:v>12</c:v>
                </c:pt>
                <c:pt idx="68">
                  <c:v>9</c:v>
                </c:pt>
                <c:pt idx="69">
                  <c:v>48</c:v>
                </c:pt>
                <c:pt idx="70">
                  <c:v>33</c:v>
                </c:pt>
                <c:pt idx="71">
                  <c:v>49</c:v>
                </c:pt>
                <c:pt idx="72">
                  <c:v>40</c:v>
                </c:pt>
                <c:pt idx="73">
                  <c:v>25</c:v>
                </c:pt>
                <c:pt idx="74">
                  <c:v>18</c:v>
                </c:pt>
                <c:pt idx="75">
                  <c:v>35</c:v>
                </c:pt>
                <c:pt idx="76">
                  <c:v>36</c:v>
                </c:pt>
                <c:pt idx="77">
                  <c:v>14</c:v>
                </c:pt>
                <c:pt idx="78">
                  <c:v>3</c:v>
                </c:pt>
                <c:pt idx="79">
                  <c:v>22</c:v>
                </c:pt>
                <c:pt idx="80">
                  <c:v>8</c:v>
                </c:pt>
                <c:pt idx="81">
                  <c:v>21</c:v>
                </c:pt>
                <c:pt idx="82">
                  <c:v>33</c:v>
                </c:pt>
                <c:pt idx="83">
                  <c:v>48</c:v>
                </c:pt>
                <c:pt idx="84">
                  <c:v>49</c:v>
                </c:pt>
                <c:pt idx="85">
                  <c:v>29</c:v>
                </c:pt>
                <c:pt idx="86">
                  <c:v>35</c:v>
                </c:pt>
                <c:pt idx="87">
                  <c:v>24</c:v>
                </c:pt>
                <c:pt idx="88">
                  <c:v>31</c:v>
                </c:pt>
                <c:pt idx="89">
                  <c:v>21</c:v>
                </c:pt>
                <c:pt idx="90">
                  <c:v>18</c:v>
                </c:pt>
                <c:pt idx="91">
                  <c:v>3</c:v>
                </c:pt>
                <c:pt idx="92">
                  <c:v>22</c:v>
                </c:pt>
                <c:pt idx="93">
                  <c:v>27</c:v>
                </c:pt>
                <c:pt idx="94">
                  <c:v>17</c:v>
                </c:pt>
                <c:pt idx="95">
                  <c:v>43</c:v>
                </c:pt>
                <c:pt idx="96">
                  <c:v>26</c:v>
                </c:pt>
                <c:pt idx="97">
                  <c:v>7</c:v>
                </c:pt>
                <c:pt idx="98">
                  <c:v>20</c:v>
                </c:pt>
                <c:pt idx="99">
                  <c:v>23</c:v>
                </c:pt>
              </c:numCache>
            </c:numRef>
          </c:xVal>
          <c:yVal>
            <c:numRef>
              <c:f>Sheet2!$AM$6:$AM$105</c:f>
              <c:numCache>
                <c:formatCode>General</c:formatCode>
                <c:ptCount val="100"/>
                <c:pt idx="0">
                  <c:v>2098185</c:v>
                </c:pt>
                <c:pt idx="1">
                  <c:v>6136143</c:v>
                </c:pt>
                <c:pt idx="2">
                  <c:v>1182478</c:v>
                </c:pt>
                <c:pt idx="3">
                  <c:v>1866040</c:v>
                </c:pt>
                <c:pt idx="4">
                  <c:v>8323558</c:v>
                </c:pt>
                <c:pt idx="5">
                  <c:v>6757707</c:v>
                </c:pt>
                <c:pt idx="6">
                  <c:v>10739872</c:v>
                </c:pt>
                <c:pt idx="7">
                  <c:v>7119126</c:v>
                </c:pt>
                <c:pt idx="8">
                  <c:v>8781715</c:v>
                </c:pt>
                <c:pt idx="9">
                  <c:v>267276</c:v>
                </c:pt>
                <c:pt idx="10">
                  <c:v>4853310</c:v>
                </c:pt>
                <c:pt idx="11">
                  <c:v>3150574</c:v>
                </c:pt>
                <c:pt idx="12">
                  <c:v>2291848</c:v>
                </c:pt>
                <c:pt idx="13">
                  <c:v>479885</c:v>
                </c:pt>
                <c:pt idx="14">
                  <c:v>3502695</c:v>
                </c:pt>
                <c:pt idx="15">
                  <c:v>9621880</c:v>
                </c:pt>
                <c:pt idx="16">
                  <c:v>593718</c:v>
                </c:pt>
                <c:pt idx="17">
                  <c:v>5708070</c:v>
                </c:pt>
                <c:pt idx="18">
                  <c:v>9537836</c:v>
                </c:pt>
                <c:pt idx="19">
                  <c:v>6612408</c:v>
                </c:pt>
                <c:pt idx="20">
                  <c:v>9635360</c:v>
                </c:pt>
                <c:pt idx="21">
                  <c:v>1375596</c:v>
                </c:pt>
                <c:pt idx="22">
                  <c:v>2611980</c:v>
                </c:pt>
                <c:pt idx="23">
                  <c:v>1519350</c:v>
                </c:pt>
                <c:pt idx="24">
                  <c:v>6765748</c:v>
                </c:pt>
                <c:pt idx="25">
                  <c:v>3131927</c:v>
                </c:pt>
                <c:pt idx="26">
                  <c:v>1077978</c:v>
                </c:pt>
                <c:pt idx="27">
                  <c:v>3295695</c:v>
                </c:pt>
                <c:pt idx="28">
                  <c:v>454815</c:v>
                </c:pt>
                <c:pt idx="29">
                  <c:v>3601455</c:v>
                </c:pt>
                <c:pt idx="30">
                  <c:v>9433908</c:v>
                </c:pt>
                <c:pt idx="31">
                  <c:v>249090</c:v>
                </c:pt>
                <c:pt idx="32">
                  <c:v>2496732</c:v>
                </c:pt>
                <c:pt idx="33">
                  <c:v>3088956</c:v>
                </c:pt>
                <c:pt idx="34">
                  <c:v>3571890</c:v>
                </c:pt>
                <c:pt idx="35">
                  <c:v>910195</c:v>
                </c:pt>
                <c:pt idx="36">
                  <c:v>3454048</c:v>
                </c:pt>
                <c:pt idx="37">
                  <c:v>8077524</c:v>
                </c:pt>
                <c:pt idx="38">
                  <c:v>7448112</c:v>
                </c:pt>
                <c:pt idx="39">
                  <c:v>3814162</c:v>
                </c:pt>
                <c:pt idx="40">
                  <c:v>8713305</c:v>
                </c:pt>
                <c:pt idx="41">
                  <c:v>1476450</c:v>
                </c:pt>
                <c:pt idx="42">
                  <c:v>418517</c:v>
                </c:pt>
                <c:pt idx="43">
                  <c:v>4845344</c:v>
                </c:pt>
                <c:pt idx="44">
                  <c:v>5736015</c:v>
                </c:pt>
                <c:pt idx="45">
                  <c:v>6582386</c:v>
                </c:pt>
                <c:pt idx="46">
                  <c:v>9197312</c:v>
                </c:pt>
                <c:pt idx="47">
                  <c:v>9559924</c:v>
                </c:pt>
                <c:pt idx="48">
                  <c:v>7901152</c:v>
                </c:pt>
                <c:pt idx="49">
                  <c:v>2908297</c:v>
                </c:pt>
                <c:pt idx="50">
                  <c:v>9381294</c:v>
                </c:pt>
                <c:pt idx="51">
                  <c:v>5549936</c:v>
                </c:pt>
                <c:pt idx="52">
                  <c:v>265718</c:v>
                </c:pt>
                <c:pt idx="53">
                  <c:v>197789</c:v>
                </c:pt>
                <c:pt idx="54">
                  <c:v>6408908</c:v>
                </c:pt>
                <c:pt idx="55">
                  <c:v>1427261</c:v>
                </c:pt>
                <c:pt idx="56">
                  <c:v>8319530</c:v>
                </c:pt>
                <c:pt idx="57">
                  <c:v>654270</c:v>
                </c:pt>
                <c:pt idx="58">
                  <c:v>2048208</c:v>
                </c:pt>
                <c:pt idx="59">
                  <c:v>429978</c:v>
                </c:pt>
                <c:pt idx="60">
                  <c:v>3077660</c:v>
                </c:pt>
                <c:pt idx="61">
                  <c:v>1423604</c:v>
                </c:pt>
                <c:pt idx="62">
                  <c:v>4300736</c:v>
                </c:pt>
                <c:pt idx="63">
                  <c:v>309705</c:v>
                </c:pt>
                <c:pt idx="64">
                  <c:v>964114</c:v>
                </c:pt>
                <c:pt idx="65">
                  <c:v>467901</c:v>
                </c:pt>
                <c:pt idx="66">
                  <c:v>7502929</c:v>
                </c:pt>
                <c:pt idx="67">
                  <c:v>491184</c:v>
                </c:pt>
                <c:pt idx="68">
                  <c:v>246600</c:v>
                </c:pt>
                <c:pt idx="69">
                  <c:v>9718992</c:v>
                </c:pt>
                <c:pt idx="70">
                  <c:v>1062039</c:v>
                </c:pt>
                <c:pt idx="71">
                  <c:v>2582839</c:v>
                </c:pt>
                <c:pt idx="72">
                  <c:v>8493560</c:v>
                </c:pt>
                <c:pt idx="73">
                  <c:v>5827250</c:v>
                </c:pt>
                <c:pt idx="74">
                  <c:v>3564846</c:v>
                </c:pt>
                <c:pt idx="75">
                  <c:v>7427245</c:v>
                </c:pt>
                <c:pt idx="76">
                  <c:v>3969792</c:v>
                </c:pt>
                <c:pt idx="77">
                  <c:v>1559768</c:v>
                </c:pt>
                <c:pt idx="78">
                  <c:v>319248</c:v>
                </c:pt>
                <c:pt idx="79">
                  <c:v>876260</c:v>
                </c:pt>
                <c:pt idx="80">
                  <c:v>1366480</c:v>
                </c:pt>
                <c:pt idx="81">
                  <c:v>1554945</c:v>
                </c:pt>
                <c:pt idx="82">
                  <c:v>8109156</c:v>
                </c:pt>
                <c:pt idx="83">
                  <c:v>3154272</c:v>
                </c:pt>
                <c:pt idx="84">
                  <c:v>6173167</c:v>
                </c:pt>
                <c:pt idx="85">
                  <c:v>2986681</c:v>
                </c:pt>
                <c:pt idx="86">
                  <c:v>6429745</c:v>
                </c:pt>
                <c:pt idx="87">
                  <c:v>562080</c:v>
                </c:pt>
                <c:pt idx="88">
                  <c:v>6736517</c:v>
                </c:pt>
                <c:pt idx="89">
                  <c:v>548142</c:v>
                </c:pt>
                <c:pt idx="90">
                  <c:v>3341808</c:v>
                </c:pt>
                <c:pt idx="91">
                  <c:v>608871</c:v>
                </c:pt>
                <c:pt idx="92">
                  <c:v>837540</c:v>
                </c:pt>
                <c:pt idx="93">
                  <c:v>829683</c:v>
                </c:pt>
                <c:pt idx="94">
                  <c:v>3039991</c:v>
                </c:pt>
                <c:pt idx="95">
                  <c:v>9853063</c:v>
                </c:pt>
                <c:pt idx="96">
                  <c:v>5253690</c:v>
                </c:pt>
                <c:pt idx="97">
                  <c:v>1686888</c:v>
                </c:pt>
                <c:pt idx="98">
                  <c:v>447360</c:v>
                </c:pt>
                <c:pt idx="99">
                  <c:v>3313058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82-4836-A93A-467912EE462C}"/>
            </c:ext>
          </c:extLst>
        </c:ser>
        <c:ser>
          <c:idx val="1"/>
          <c:order val="1"/>
          <c:tx>
            <c:strRef>
              <c:f>Sheet2!$AN$5</c:f>
              <c:strCache>
                <c:ptCount val="1"/>
                <c:pt idx="0">
                  <c:v>price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Sheet2!$AL$6:$AL$105</c:f>
              <c:numCache>
                <c:formatCode>General</c:formatCode>
                <c:ptCount val="100"/>
                <c:pt idx="0">
                  <c:v>15</c:v>
                </c:pt>
                <c:pt idx="1">
                  <c:v>39</c:v>
                </c:pt>
                <c:pt idx="2">
                  <c:v>11</c:v>
                </c:pt>
                <c:pt idx="3">
                  <c:v>22</c:v>
                </c:pt>
                <c:pt idx="4">
                  <c:v>38</c:v>
                </c:pt>
                <c:pt idx="5">
                  <c:v>33</c:v>
                </c:pt>
                <c:pt idx="6">
                  <c:v>44</c:v>
                </c:pt>
                <c:pt idx="7">
                  <c:v>42</c:v>
                </c:pt>
                <c:pt idx="8">
                  <c:v>47</c:v>
                </c:pt>
                <c:pt idx="9">
                  <c:v>3</c:v>
                </c:pt>
                <c:pt idx="10">
                  <c:v>21</c:v>
                </c:pt>
                <c:pt idx="11">
                  <c:v>14</c:v>
                </c:pt>
                <c:pt idx="12">
                  <c:v>26</c:v>
                </c:pt>
                <c:pt idx="13">
                  <c:v>7</c:v>
                </c:pt>
                <c:pt idx="14">
                  <c:v>35</c:v>
                </c:pt>
                <c:pt idx="15">
                  <c:v>40</c:v>
                </c:pt>
                <c:pt idx="16">
                  <c:v>6</c:v>
                </c:pt>
                <c:pt idx="17">
                  <c:v>29</c:v>
                </c:pt>
                <c:pt idx="18">
                  <c:v>44</c:v>
                </c:pt>
                <c:pt idx="19">
                  <c:v>36</c:v>
                </c:pt>
                <c:pt idx="20">
                  <c:v>40</c:v>
                </c:pt>
                <c:pt idx="21">
                  <c:v>47</c:v>
                </c:pt>
                <c:pt idx="22">
                  <c:v>45</c:v>
                </c:pt>
                <c:pt idx="23">
                  <c:v>25</c:v>
                </c:pt>
                <c:pt idx="24">
                  <c:v>44</c:v>
                </c:pt>
                <c:pt idx="25">
                  <c:v>17</c:v>
                </c:pt>
                <c:pt idx="26">
                  <c:v>33</c:v>
                </c:pt>
                <c:pt idx="27">
                  <c:v>39</c:v>
                </c:pt>
                <c:pt idx="28">
                  <c:v>9</c:v>
                </c:pt>
                <c:pt idx="29">
                  <c:v>33</c:v>
                </c:pt>
                <c:pt idx="30">
                  <c:v>44</c:v>
                </c:pt>
                <c:pt idx="31">
                  <c:v>1</c:v>
                </c:pt>
                <c:pt idx="32">
                  <c:v>14</c:v>
                </c:pt>
                <c:pt idx="33">
                  <c:v>26</c:v>
                </c:pt>
                <c:pt idx="34">
                  <c:v>15</c:v>
                </c:pt>
                <c:pt idx="35">
                  <c:v>13</c:v>
                </c:pt>
                <c:pt idx="36">
                  <c:v>32</c:v>
                </c:pt>
                <c:pt idx="37">
                  <c:v>39</c:v>
                </c:pt>
                <c:pt idx="38">
                  <c:v>36</c:v>
                </c:pt>
                <c:pt idx="39">
                  <c:v>22</c:v>
                </c:pt>
                <c:pt idx="40">
                  <c:v>45</c:v>
                </c:pt>
                <c:pt idx="41">
                  <c:v>6</c:v>
                </c:pt>
                <c:pt idx="42">
                  <c:v>11</c:v>
                </c:pt>
                <c:pt idx="43">
                  <c:v>28</c:v>
                </c:pt>
                <c:pt idx="44">
                  <c:v>27</c:v>
                </c:pt>
                <c:pt idx="45">
                  <c:v>41</c:v>
                </c:pt>
                <c:pt idx="46">
                  <c:v>37</c:v>
                </c:pt>
                <c:pt idx="47">
                  <c:v>44</c:v>
                </c:pt>
                <c:pt idx="48">
                  <c:v>32</c:v>
                </c:pt>
                <c:pt idx="49">
                  <c:v>49</c:v>
                </c:pt>
                <c:pt idx="50">
                  <c:v>39</c:v>
                </c:pt>
                <c:pt idx="51">
                  <c:v>49</c:v>
                </c:pt>
                <c:pt idx="52">
                  <c:v>2</c:v>
                </c:pt>
                <c:pt idx="53">
                  <c:v>1</c:v>
                </c:pt>
                <c:pt idx="54">
                  <c:v>44</c:v>
                </c:pt>
                <c:pt idx="55">
                  <c:v>11</c:v>
                </c:pt>
                <c:pt idx="56">
                  <c:v>38</c:v>
                </c:pt>
                <c:pt idx="57">
                  <c:v>6</c:v>
                </c:pt>
                <c:pt idx="58">
                  <c:v>48</c:v>
                </c:pt>
                <c:pt idx="59">
                  <c:v>6</c:v>
                </c:pt>
                <c:pt idx="60">
                  <c:v>20</c:v>
                </c:pt>
                <c:pt idx="61">
                  <c:v>26</c:v>
                </c:pt>
                <c:pt idx="62">
                  <c:v>41</c:v>
                </c:pt>
                <c:pt idx="63">
                  <c:v>11</c:v>
                </c:pt>
                <c:pt idx="64">
                  <c:v>23</c:v>
                </c:pt>
                <c:pt idx="65">
                  <c:v>7</c:v>
                </c:pt>
                <c:pt idx="66">
                  <c:v>49</c:v>
                </c:pt>
                <c:pt idx="67">
                  <c:v>12</c:v>
                </c:pt>
                <c:pt idx="68">
                  <c:v>9</c:v>
                </c:pt>
                <c:pt idx="69">
                  <c:v>48</c:v>
                </c:pt>
                <c:pt idx="70">
                  <c:v>33</c:v>
                </c:pt>
                <c:pt idx="71">
                  <c:v>49</c:v>
                </c:pt>
                <c:pt idx="72">
                  <c:v>40</c:v>
                </c:pt>
                <c:pt idx="73">
                  <c:v>25</c:v>
                </c:pt>
                <c:pt idx="74">
                  <c:v>18</c:v>
                </c:pt>
                <c:pt idx="75">
                  <c:v>35</c:v>
                </c:pt>
                <c:pt idx="76">
                  <c:v>36</c:v>
                </c:pt>
                <c:pt idx="77">
                  <c:v>14</c:v>
                </c:pt>
                <c:pt idx="78">
                  <c:v>3</c:v>
                </c:pt>
                <c:pt idx="79">
                  <c:v>22</c:v>
                </c:pt>
                <c:pt idx="80">
                  <c:v>8</c:v>
                </c:pt>
                <c:pt idx="81">
                  <c:v>21</c:v>
                </c:pt>
                <c:pt idx="82">
                  <c:v>33</c:v>
                </c:pt>
                <c:pt idx="83">
                  <c:v>48</c:v>
                </c:pt>
                <c:pt idx="84">
                  <c:v>49</c:v>
                </c:pt>
                <c:pt idx="85">
                  <c:v>29</c:v>
                </c:pt>
                <c:pt idx="86">
                  <c:v>35</c:v>
                </c:pt>
                <c:pt idx="87">
                  <c:v>24</c:v>
                </c:pt>
                <c:pt idx="88">
                  <c:v>31</c:v>
                </c:pt>
                <c:pt idx="89">
                  <c:v>21</c:v>
                </c:pt>
                <c:pt idx="90">
                  <c:v>18</c:v>
                </c:pt>
                <c:pt idx="91">
                  <c:v>3</c:v>
                </c:pt>
                <c:pt idx="92">
                  <c:v>22</c:v>
                </c:pt>
                <c:pt idx="93">
                  <c:v>27</c:v>
                </c:pt>
                <c:pt idx="94">
                  <c:v>17</c:v>
                </c:pt>
                <c:pt idx="95">
                  <c:v>43</c:v>
                </c:pt>
                <c:pt idx="96">
                  <c:v>26</c:v>
                </c:pt>
                <c:pt idx="97">
                  <c:v>7</c:v>
                </c:pt>
                <c:pt idx="98">
                  <c:v>20</c:v>
                </c:pt>
                <c:pt idx="99">
                  <c:v>23</c:v>
                </c:pt>
              </c:numCache>
            </c:numRef>
          </c:xVal>
          <c:yVal>
            <c:numRef>
              <c:f>Sheet2!$AN$6:$AN$105</c:f>
              <c:numCache>
                <c:formatCode>General</c:formatCode>
                <c:ptCount val="100"/>
                <c:pt idx="0">
                  <c:v>139879</c:v>
                </c:pt>
                <c:pt idx="1">
                  <c:v>157337</c:v>
                </c:pt>
                <c:pt idx="2">
                  <c:v>107498</c:v>
                </c:pt>
                <c:pt idx="3">
                  <c:v>84820</c:v>
                </c:pt>
                <c:pt idx="4">
                  <c:v>219041</c:v>
                </c:pt>
                <c:pt idx="5">
                  <c:v>204779</c:v>
                </c:pt>
                <c:pt idx="6">
                  <c:v>244088</c:v>
                </c:pt>
                <c:pt idx="7">
                  <c:v>169503</c:v>
                </c:pt>
                <c:pt idx="8">
                  <c:v>186845</c:v>
                </c:pt>
                <c:pt idx="9">
                  <c:v>89092</c:v>
                </c:pt>
                <c:pt idx="10">
                  <c:v>231110</c:v>
                </c:pt>
                <c:pt idx="11">
                  <c:v>225041</c:v>
                </c:pt>
                <c:pt idx="12">
                  <c:v>88148</c:v>
                </c:pt>
                <c:pt idx="13">
                  <c:v>68555</c:v>
                </c:pt>
                <c:pt idx="14">
                  <c:v>100077</c:v>
                </c:pt>
                <c:pt idx="15">
                  <c:v>240547</c:v>
                </c:pt>
                <c:pt idx="16">
                  <c:v>98953</c:v>
                </c:pt>
                <c:pt idx="17">
                  <c:v>196830</c:v>
                </c:pt>
                <c:pt idx="18">
                  <c:v>216769</c:v>
                </c:pt>
                <c:pt idx="19">
                  <c:v>183678</c:v>
                </c:pt>
                <c:pt idx="20">
                  <c:v>240884</c:v>
                </c:pt>
                <c:pt idx="21">
                  <c:v>29268</c:v>
                </c:pt>
                <c:pt idx="22">
                  <c:v>58044</c:v>
                </c:pt>
                <c:pt idx="23">
                  <c:v>60774</c:v>
                </c:pt>
                <c:pt idx="24">
                  <c:v>153767</c:v>
                </c:pt>
                <c:pt idx="25">
                  <c:v>184231</c:v>
                </c:pt>
                <c:pt idx="26">
                  <c:v>32666</c:v>
                </c:pt>
                <c:pt idx="27">
                  <c:v>84505</c:v>
                </c:pt>
                <c:pt idx="28">
                  <c:v>50535</c:v>
                </c:pt>
                <c:pt idx="29">
                  <c:v>109135</c:v>
                </c:pt>
                <c:pt idx="30">
                  <c:v>214407</c:v>
                </c:pt>
                <c:pt idx="31">
                  <c:v>249090</c:v>
                </c:pt>
                <c:pt idx="32">
                  <c:v>178338</c:v>
                </c:pt>
                <c:pt idx="33">
                  <c:v>118806</c:v>
                </c:pt>
                <c:pt idx="34">
                  <c:v>238126</c:v>
                </c:pt>
                <c:pt idx="35">
                  <c:v>70015</c:v>
                </c:pt>
                <c:pt idx="36">
                  <c:v>107939</c:v>
                </c:pt>
                <c:pt idx="37">
                  <c:v>207116</c:v>
                </c:pt>
                <c:pt idx="38">
                  <c:v>206892</c:v>
                </c:pt>
                <c:pt idx="39">
                  <c:v>173371</c:v>
                </c:pt>
                <c:pt idx="40">
                  <c:v>193629</c:v>
                </c:pt>
                <c:pt idx="41">
                  <c:v>246075</c:v>
                </c:pt>
                <c:pt idx="42">
                  <c:v>38047</c:v>
                </c:pt>
                <c:pt idx="43">
                  <c:v>173048</c:v>
                </c:pt>
                <c:pt idx="44">
                  <c:v>212445</c:v>
                </c:pt>
                <c:pt idx="45">
                  <c:v>160546</c:v>
                </c:pt>
                <c:pt idx="46">
                  <c:v>248576</c:v>
                </c:pt>
                <c:pt idx="47">
                  <c:v>217271</c:v>
                </c:pt>
                <c:pt idx="48">
                  <c:v>246911</c:v>
                </c:pt>
                <c:pt idx="49">
                  <c:v>59353</c:v>
                </c:pt>
                <c:pt idx="50">
                  <c:v>240546</c:v>
                </c:pt>
                <c:pt idx="51">
                  <c:v>113264</c:v>
                </c:pt>
                <c:pt idx="52">
                  <c:v>132859</c:v>
                </c:pt>
                <c:pt idx="53">
                  <c:v>197789</c:v>
                </c:pt>
                <c:pt idx="54">
                  <c:v>145657</c:v>
                </c:pt>
                <c:pt idx="55">
                  <c:v>129751</c:v>
                </c:pt>
                <c:pt idx="56">
                  <c:v>218935</c:v>
                </c:pt>
                <c:pt idx="57">
                  <c:v>109045</c:v>
                </c:pt>
                <c:pt idx="58">
                  <c:v>42671</c:v>
                </c:pt>
                <c:pt idx="59">
                  <c:v>71663</c:v>
                </c:pt>
                <c:pt idx="60">
                  <c:v>153883</c:v>
                </c:pt>
                <c:pt idx="61">
                  <c:v>54754</c:v>
                </c:pt>
                <c:pt idx="62">
                  <c:v>104896</c:v>
                </c:pt>
                <c:pt idx="63">
                  <c:v>28155</c:v>
                </c:pt>
                <c:pt idx="64">
                  <c:v>41918</c:v>
                </c:pt>
                <c:pt idx="65">
                  <c:v>66843</c:v>
                </c:pt>
                <c:pt idx="66">
                  <c:v>153121</c:v>
                </c:pt>
                <c:pt idx="67">
                  <c:v>40932</c:v>
                </c:pt>
                <c:pt idx="68">
                  <c:v>27400</c:v>
                </c:pt>
                <c:pt idx="69">
                  <c:v>202479</c:v>
                </c:pt>
                <c:pt idx="70">
                  <c:v>32183</c:v>
                </c:pt>
                <c:pt idx="71">
                  <c:v>52711</c:v>
                </c:pt>
                <c:pt idx="72">
                  <c:v>212339</c:v>
                </c:pt>
                <c:pt idx="73">
                  <c:v>233090</c:v>
                </c:pt>
                <c:pt idx="74">
                  <c:v>198047</c:v>
                </c:pt>
                <c:pt idx="75">
                  <c:v>212207</c:v>
                </c:pt>
                <c:pt idx="76">
                  <c:v>110272</c:v>
                </c:pt>
                <c:pt idx="77">
                  <c:v>111412</c:v>
                </c:pt>
                <c:pt idx="78">
                  <c:v>106416</c:v>
                </c:pt>
                <c:pt idx="79">
                  <c:v>39830</c:v>
                </c:pt>
                <c:pt idx="80">
                  <c:v>170810</c:v>
                </c:pt>
                <c:pt idx="81">
                  <c:v>74045</c:v>
                </c:pt>
                <c:pt idx="82">
                  <c:v>245732</c:v>
                </c:pt>
                <c:pt idx="83">
                  <c:v>65714</c:v>
                </c:pt>
                <c:pt idx="84">
                  <c:v>125983</c:v>
                </c:pt>
                <c:pt idx="85">
                  <c:v>102989</c:v>
                </c:pt>
                <c:pt idx="86">
                  <c:v>183707</c:v>
                </c:pt>
                <c:pt idx="87">
                  <c:v>23420</c:v>
                </c:pt>
                <c:pt idx="88">
                  <c:v>217307</c:v>
                </c:pt>
                <c:pt idx="89">
                  <c:v>26102</c:v>
                </c:pt>
                <c:pt idx="90">
                  <c:v>185656</c:v>
                </c:pt>
                <c:pt idx="91">
                  <c:v>202957</c:v>
                </c:pt>
                <c:pt idx="92">
                  <c:v>38070</c:v>
                </c:pt>
                <c:pt idx="93">
                  <c:v>30729</c:v>
                </c:pt>
                <c:pt idx="94">
                  <c:v>178823</c:v>
                </c:pt>
                <c:pt idx="95">
                  <c:v>229141</c:v>
                </c:pt>
                <c:pt idx="96">
                  <c:v>202065</c:v>
                </c:pt>
                <c:pt idx="97">
                  <c:v>240984</c:v>
                </c:pt>
                <c:pt idx="98">
                  <c:v>22368</c:v>
                </c:pt>
                <c:pt idx="99">
                  <c:v>144046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382-4836-A93A-467912EE46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8049056"/>
        <c:axId val="1148052416"/>
      </c:scatterChart>
      <c:valAx>
        <c:axId val="1148049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8052416"/>
        <c:crosses val="autoZero"/>
        <c:crossBetween val="midCat"/>
      </c:valAx>
      <c:valAx>
        <c:axId val="1148052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80490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  <cx:data id="1">
      <cx:strDim type="cat">
        <cx:f>_xlchart.v1.0</cx:f>
      </cx:strDim>
      <cx:numDim type="val">
        <cx:f>_xlchart.v1.4</cx:f>
      </cx:numDim>
    </cx:data>
    <cx:data id="2">
      <cx:strDim type="cat">
        <cx:f>_xlchart.v1.0</cx:f>
      </cx:strDim>
      <cx:numDim type="val">
        <cx:f>_xlchart.v1.6</cx:f>
      </cx:numDim>
    </cx:data>
  </cx:chartData>
  <cx:chart>
    <cx:title pos="t" align="ctr" overlay="0">
      <cx:tx>
        <cx:txData>
          <cx:v>Histogram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Histogram</a:t>
          </a:r>
        </a:p>
      </cx:txPr>
    </cx:title>
    <cx:plotArea>
      <cx:plotAreaRegion>
        <cx:series layoutId="clusteredColumn" uniqueId="{B5CE65D8-73B0-4994-98E7-4820295145B7}" formatIdx="0">
          <cx:tx>
            <cx:txData>
              <cx:f>_xlchart.v1.1</cx:f>
              <cx:v>units_sold</cx:v>
            </cx:txData>
          </cx:tx>
          <cx:dataId val="0"/>
          <cx:layoutPr>
            <cx:binning intervalClosed="r">
              <cx:binSize val="10"/>
            </cx:binning>
          </cx:layoutPr>
        </cx:series>
        <cx:series layoutId="clusteredColumn" hidden="1" uniqueId="{54D3E249-56BE-4A1B-A279-176C52093F6A}" formatIdx="1">
          <cx:tx>
            <cx:txData>
              <cx:f>_xlchart.v1.3</cx:f>
              <cx:v>price</cx:v>
            </cx:txData>
          </cx:tx>
          <cx:dataId val="1"/>
          <cx:layoutPr>
            <cx:binning intervalClosed="r"/>
          </cx:layoutPr>
        </cx:series>
        <cx:series layoutId="clusteredColumn" hidden="1" uniqueId="{9E89F518-1D0E-4312-9000-C1907B75C211}" formatIdx="2">
          <cx:tx>
            <cx:txData>
              <cx:f>_xlchart.v1.5</cx:f>
              <cx:v>revenue</cx:v>
            </cx:txData>
          </cx:tx>
          <cx:dataId val="2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_xlchart.v1.10</cx:f>
      </cx:numDim>
    </cx:data>
  </cx:chartData>
  <cx:chart>
    <cx:title pos="t" align="ctr" overlay="0">
      <cx:tx>
        <cx:txData>
          <cx:v>Price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Price Distribution</a:t>
          </a:r>
        </a:p>
      </cx:txPr>
    </cx:title>
    <cx:plotArea>
      <cx:plotAreaRegion>
        <cx:series layoutId="clusteredColumn" uniqueId="{D95A091B-77A5-44DE-A2ED-3B4376BB8BD8}">
          <cx:tx>
            <cx:txData>
              <cx:f>_xlchart.v1.9</cx:f>
              <cx:v>price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_xlchart.v1.8</cx:f>
      </cx:numDim>
    </cx:data>
  </cx:chartData>
  <cx:chart>
    <cx:title pos="t" align="ctr" overlay="0">
      <cx:tx>
        <cx:txData>
          <cx:v>Distribusi Revenue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Distribusi Revenue</a:t>
          </a:r>
        </a:p>
      </cx:txPr>
    </cx:title>
    <cx:plotArea>
      <cx:plotAreaRegion>
        <cx:series layoutId="clusteredColumn" uniqueId="{7D56FEB4-10C2-4D64-BF31-A727F21CBBB8}">
          <cx:tx>
            <cx:txData>
              <cx:f>_xlchart.v1.7</cx:f>
              <cx:v>revenue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_xlchart.v1.13</cx:f>
      </cx:strDim>
      <cx:numDim type="size">
        <cx:f>_xlchart.v1.12</cx:f>
      </cx:numDim>
    </cx:data>
  </cx:chartData>
  <cx:chart>
    <cx:title pos="t" align="ctr" overlay="0">
      <cx:tx>
        <cx:txData>
          <cx:v> Treemap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 Treemap</a:t>
          </a:r>
        </a:p>
      </cx:txPr>
    </cx:title>
    <cx:plotArea>
      <cx:plotAreaRegion>
        <cx:series layoutId="treemap" uniqueId="{F445191F-ED51-4929-A8D7-21573D4167D2}">
          <cx:tx>
            <cx:txData>
              <cx:f>_xlchart.v1.11</cx:f>
              <cx:v>units_sold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_xlchart.v1.15</cx:f>
      </cx:numDim>
    </cx:data>
  </cx:chartData>
  <cx:chart>
    <cx:title pos="t" align="ctr" overlay="0">
      <cx:tx>
        <cx:txData>
          <cx:v>Histogram Unitsold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Histogram Unitsold</a:t>
          </a:r>
        </a:p>
      </cx:txPr>
    </cx:title>
    <cx:plotArea>
      <cx:plotAreaRegion>
        <cx:series layoutId="clusteredColumn" uniqueId="{568CCB3E-C9CB-4E86-85F0-6471F0495B17}">
          <cx:tx>
            <cx:txData>
              <cx:f>_xlchart.v1.14</cx:f>
              <cx:v>units_sold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microsoft.com/office/2014/relationships/chartEx" Target="../charts/chartEx5.xml"/><Relationship Id="rId5" Type="http://schemas.microsoft.com/office/2014/relationships/chartEx" Target="../charts/chartEx4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9071</xdr:colOff>
      <xdr:row>112</xdr:row>
      <xdr:rowOff>14548</xdr:rowOff>
    </xdr:from>
    <xdr:to>
      <xdr:col>6</xdr:col>
      <xdr:colOff>184049</xdr:colOff>
      <xdr:row>126</xdr:row>
      <xdr:rowOff>176927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7E5CA98E-C0CC-50D6-5695-1056918801E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071" y="20639348"/>
              <a:ext cx="5229578" cy="274047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D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128</xdr:row>
      <xdr:rowOff>16331</xdr:rowOff>
    </xdr:from>
    <xdr:to>
      <xdr:col>5</xdr:col>
      <xdr:colOff>145142</xdr:colOff>
      <xdr:row>142</xdr:row>
      <xdr:rowOff>127001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555F8F31-94E4-6DCF-4758-ED5D89CFAB0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3587531"/>
              <a:ext cx="4463142" cy="26887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D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40821</xdr:colOff>
      <xdr:row>144</xdr:row>
      <xdr:rowOff>25400</xdr:rowOff>
    </xdr:from>
    <xdr:to>
      <xdr:col>5</xdr:col>
      <xdr:colOff>303892</xdr:colOff>
      <xdr:row>159</xdr:row>
      <xdr:rowOff>47171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770B5ECB-AB98-28CF-B48F-395FAEE53FF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821" y="26543000"/>
              <a:ext cx="4581071" cy="278402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D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</xdr:colOff>
      <xdr:row>1</xdr:row>
      <xdr:rowOff>175260</xdr:rowOff>
    </xdr:from>
    <xdr:to>
      <xdr:col>10</xdr:col>
      <xdr:colOff>344825</xdr:colOff>
      <xdr:row>17</xdr:row>
      <xdr:rowOff>19250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6D7429-BED0-410D-9E17-38EA236DA5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7457</xdr:colOff>
      <xdr:row>3</xdr:row>
      <xdr:rowOff>124711</xdr:rowOff>
    </xdr:from>
    <xdr:to>
      <xdr:col>23</xdr:col>
      <xdr:colOff>352513</xdr:colOff>
      <xdr:row>18</xdr:row>
      <xdr:rowOff>64325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AE5AD1F-88E7-1CBA-BD72-76568C3BE3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1</xdr:colOff>
      <xdr:row>3</xdr:row>
      <xdr:rowOff>185530</xdr:rowOff>
    </xdr:from>
    <xdr:to>
      <xdr:col>35</xdr:col>
      <xdr:colOff>320262</xdr:colOff>
      <xdr:row>18</xdr:row>
      <xdr:rowOff>112643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6E6F0C9-BC42-71B7-15E1-40D092C1D1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41</xdr:col>
      <xdr:colOff>11043</xdr:colOff>
      <xdr:row>4</xdr:row>
      <xdr:rowOff>8835</xdr:rowOff>
    </xdr:from>
    <xdr:to>
      <xdr:col>48</xdr:col>
      <xdr:colOff>331304</xdr:colOff>
      <xdr:row>18</xdr:row>
      <xdr:rowOff>123688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C470097-FE04-C402-B63F-4A735B55B1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28</xdr:col>
      <xdr:colOff>41672</xdr:colOff>
      <xdr:row>20</xdr:row>
      <xdr:rowOff>51197</xdr:rowOff>
    </xdr:from>
    <xdr:to>
      <xdr:col>35</xdr:col>
      <xdr:colOff>363140</xdr:colOff>
      <xdr:row>35</xdr:row>
      <xdr:rowOff>115491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E36C0794-0564-5ACD-BF54-E071712EC60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628122" y="3734197"/>
              <a:ext cx="4588668" cy="282654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D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16</xdr:col>
      <xdr:colOff>38340</xdr:colOff>
      <xdr:row>22</xdr:row>
      <xdr:rowOff>138023</xdr:rowOff>
    </xdr:from>
    <xdr:to>
      <xdr:col>23</xdr:col>
      <xdr:colOff>333076</xdr:colOff>
      <xdr:row>38</xdr:row>
      <xdr:rowOff>5752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9002DC34-54D1-CE7D-CF94-9F4EE2209AE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928590" y="4189323"/>
              <a:ext cx="4561936" cy="281412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D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4"/>
  <sheetViews>
    <sheetView topLeftCell="B110" zoomScale="70" workbookViewId="0">
      <selection activeCell="Q152" sqref="Q152"/>
    </sheetView>
  </sheetViews>
  <sheetFormatPr defaultRowHeight="14.5" x14ac:dyDescent="0.35"/>
  <cols>
    <col min="1" max="1" width="12" style="3" customWidth="1"/>
    <col min="2" max="2" width="13.81640625" customWidth="1"/>
    <col min="3" max="3" width="16.6328125" customWidth="1"/>
    <col min="5" max="5" width="10.6328125" customWidth="1"/>
    <col min="6" max="6" width="10.54296875" customWidth="1"/>
    <col min="9" max="9" width="18" customWidth="1"/>
  </cols>
  <sheetData>
    <row r="1" spans="1:6" x14ac:dyDescent="0.3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3">
        <v>45292</v>
      </c>
      <c r="B2" t="s">
        <v>6</v>
      </c>
      <c r="C2" t="s">
        <v>7</v>
      </c>
      <c r="D2">
        <v>15</v>
      </c>
      <c r="E2">
        <v>139879</v>
      </c>
      <c r="F2">
        <v>2098185</v>
      </c>
    </row>
    <row r="3" spans="1:6" x14ac:dyDescent="0.35">
      <c r="A3" s="3">
        <v>45293</v>
      </c>
      <c r="B3" t="s">
        <v>8</v>
      </c>
      <c r="C3" t="s">
        <v>9</v>
      </c>
      <c r="D3">
        <v>39</v>
      </c>
      <c r="E3">
        <v>157337</v>
      </c>
      <c r="F3">
        <v>6136143</v>
      </c>
    </row>
    <row r="4" spans="1:6" x14ac:dyDescent="0.35">
      <c r="A4" s="3">
        <v>45294</v>
      </c>
      <c r="B4" t="s">
        <v>10</v>
      </c>
      <c r="C4" t="s">
        <v>11</v>
      </c>
      <c r="D4">
        <v>11</v>
      </c>
      <c r="E4">
        <v>107498</v>
      </c>
      <c r="F4">
        <v>1182478</v>
      </c>
    </row>
    <row r="5" spans="1:6" x14ac:dyDescent="0.35">
      <c r="A5" s="3">
        <v>45295</v>
      </c>
      <c r="B5" t="s">
        <v>8</v>
      </c>
      <c r="C5" t="s">
        <v>12</v>
      </c>
      <c r="D5">
        <v>22</v>
      </c>
      <c r="E5">
        <v>84820</v>
      </c>
      <c r="F5">
        <v>1866040</v>
      </c>
    </row>
    <row r="6" spans="1:6" x14ac:dyDescent="0.35">
      <c r="A6" s="3">
        <v>45296</v>
      </c>
      <c r="B6" t="s">
        <v>13</v>
      </c>
      <c r="C6" t="s">
        <v>14</v>
      </c>
      <c r="D6">
        <v>38</v>
      </c>
      <c r="E6">
        <v>219041</v>
      </c>
      <c r="F6">
        <v>8323558</v>
      </c>
    </row>
    <row r="7" spans="1:6" x14ac:dyDescent="0.35">
      <c r="A7" s="3">
        <v>45297</v>
      </c>
      <c r="B7" t="s">
        <v>6</v>
      </c>
      <c r="C7" t="s">
        <v>7</v>
      </c>
      <c r="D7">
        <v>33</v>
      </c>
      <c r="E7">
        <v>204779</v>
      </c>
      <c r="F7">
        <v>6757707</v>
      </c>
    </row>
    <row r="8" spans="1:6" x14ac:dyDescent="0.35">
      <c r="A8" s="3">
        <v>45298</v>
      </c>
      <c r="B8" t="s">
        <v>13</v>
      </c>
      <c r="C8" t="s">
        <v>14</v>
      </c>
      <c r="D8">
        <v>44</v>
      </c>
      <c r="E8">
        <v>244088</v>
      </c>
      <c r="F8">
        <v>10739872</v>
      </c>
    </row>
    <row r="9" spans="1:6" x14ac:dyDescent="0.35">
      <c r="A9" s="3">
        <v>45299</v>
      </c>
      <c r="B9" t="s">
        <v>15</v>
      </c>
      <c r="C9" t="s">
        <v>16</v>
      </c>
      <c r="D9">
        <v>42</v>
      </c>
      <c r="E9">
        <v>169503</v>
      </c>
      <c r="F9">
        <v>7119126</v>
      </c>
    </row>
    <row r="10" spans="1:6" x14ac:dyDescent="0.35">
      <c r="A10" s="3">
        <v>45300</v>
      </c>
      <c r="B10" t="s">
        <v>6</v>
      </c>
      <c r="C10" t="s">
        <v>17</v>
      </c>
      <c r="D10">
        <v>47</v>
      </c>
      <c r="E10">
        <v>186845</v>
      </c>
      <c r="F10">
        <v>8781715</v>
      </c>
    </row>
    <row r="11" spans="1:6" x14ac:dyDescent="0.35">
      <c r="A11" s="3">
        <v>45301</v>
      </c>
      <c r="B11" t="s">
        <v>10</v>
      </c>
      <c r="C11" t="s">
        <v>11</v>
      </c>
      <c r="D11">
        <v>3</v>
      </c>
      <c r="E11">
        <v>89092</v>
      </c>
      <c r="F11">
        <v>267276</v>
      </c>
    </row>
    <row r="12" spans="1:6" x14ac:dyDescent="0.35">
      <c r="A12" s="3">
        <v>45302</v>
      </c>
      <c r="B12" t="s">
        <v>10</v>
      </c>
      <c r="C12" t="s">
        <v>11</v>
      </c>
      <c r="D12">
        <v>21</v>
      </c>
      <c r="E12">
        <v>231110</v>
      </c>
      <c r="F12">
        <v>4853310</v>
      </c>
    </row>
    <row r="13" spans="1:6" x14ac:dyDescent="0.35">
      <c r="A13" s="3">
        <v>45303</v>
      </c>
      <c r="B13" t="s">
        <v>13</v>
      </c>
      <c r="C13" t="s">
        <v>18</v>
      </c>
      <c r="D13">
        <v>14</v>
      </c>
      <c r="E13">
        <v>225041</v>
      </c>
      <c r="F13">
        <v>3150574</v>
      </c>
    </row>
    <row r="14" spans="1:6" x14ac:dyDescent="0.35">
      <c r="A14" s="3">
        <v>45304</v>
      </c>
      <c r="B14" t="s">
        <v>13</v>
      </c>
      <c r="C14" t="s">
        <v>18</v>
      </c>
      <c r="D14">
        <v>26</v>
      </c>
      <c r="E14">
        <v>88148</v>
      </c>
      <c r="F14">
        <v>2291848</v>
      </c>
    </row>
    <row r="15" spans="1:6" x14ac:dyDescent="0.35">
      <c r="A15" s="3">
        <v>45305</v>
      </c>
      <c r="B15" t="s">
        <v>13</v>
      </c>
      <c r="C15" t="s">
        <v>19</v>
      </c>
      <c r="D15">
        <v>7</v>
      </c>
      <c r="E15">
        <v>68555</v>
      </c>
      <c r="F15">
        <v>479885</v>
      </c>
    </row>
    <row r="16" spans="1:6" x14ac:dyDescent="0.35">
      <c r="A16" s="3">
        <v>45306</v>
      </c>
      <c r="B16" t="s">
        <v>8</v>
      </c>
      <c r="C16" t="s">
        <v>12</v>
      </c>
      <c r="D16">
        <v>35</v>
      </c>
      <c r="E16">
        <v>100077</v>
      </c>
      <c r="F16">
        <v>3502695</v>
      </c>
    </row>
    <row r="17" spans="1:6" x14ac:dyDescent="0.35">
      <c r="A17" s="3">
        <v>45307</v>
      </c>
      <c r="B17" t="s">
        <v>15</v>
      </c>
      <c r="C17" t="s">
        <v>20</v>
      </c>
      <c r="D17">
        <v>40</v>
      </c>
      <c r="E17">
        <v>240547</v>
      </c>
      <c r="F17">
        <v>9621880</v>
      </c>
    </row>
    <row r="18" spans="1:6" x14ac:dyDescent="0.35">
      <c r="A18" s="3">
        <v>45308</v>
      </c>
      <c r="B18" t="s">
        <v>13</v>
      </c>
      <c r="C18" t="s">
        <v>14</v>
      </c>
      <c r="D18">
        <v>6</v>
      </c>
      <c r="E18">
        <v>98953</v>
      </c>
      <c r="F18">
        <v>593718</v>
      </c>
    </row>
    <row r="19" spans="1:6" x14ac:dyDescent="0.35">
      <c r="A19" s="3">
        <v>45309</v>
      </c>
      <c r="B19" t="s">
        <v>6</v>
      </c>
      <c r="C19" t="s">
        <v>21</v>
      </c>
      <c r="D19">
        <v>29</v>
      </c>
      <c r="E19">
        <v>196830</v>
      </c>
      <c r="F19">
        <v>5708070</v>
      </c>
    </row>
    <row r="20" spans="1:6" x14ac:dyDescent="0.35">
      <c r="A20" s="3">
        <v>45310</v>
      </c>
      <c r="B20" t="s">
        <v>13</v>
      </c>
      <c r="C20" t="s">
        <v>14</v>
      </c>
      <c r="D20">
        <v>44</v>
      </c>
      <c r="E20">
        <v>216769</v>
      </c>
      <c r="F20">
        <v>9537836</v>
      </c>
    </row>
    <row r="21" spans="1:6" x14ac:dyDescent="0.35">
      <c r="A21" s="3">
        <v>45311</v>
      </c>
      <c r="B21" t="s">
        <v>13</v>
      </c>
      <c r="C21" t="s">
        <v>14</v>
      </c>
      <c r="D21">
        <v>36</v>
      </c>
      <c r="E21">
        <v>183678</v>
      </c>
      <c r="F21">
        <v>6612408</v>
      </c>
    </row>
    <row r="22" spans="1:6" x14ac:dyDescent="0.35">
      <c r="A22" s="3">
        <v>45312</v>
      </c>
      <c r="B22" t="s">
        <v>6</v>
      </c>
      <c r="C22" t="s">
        <v>7</v>
      </c>
      <c r="D22">
        <v>40</v>
      </c>
      <c r="E22">
        <v>240884</v>
      </c>
      <c r="F22">
        <v>9635360</v>
      </c>
    </row>
    <row r="23" spans="1:6" x14ac:dyDescent="0.35">
      <c r="A23" s="3">
        <v>45313</v>
      </c>
      <c r="B23" t="s">
        <v>8</v>
      </c>
      <c r="C23" t="s">
        <v>22</v>
      </c>
      <c r="D23">
        <v>47</v>
      </c>
      <c r="E23">
        <v>29268</v>
      </c>
      <c r="F23">
        <v>1375596</v>
      </c>
    </row>
    <row r="24" spans="1:6" x14ac:dyDescent="0.35">
      <c r="A24" s="3">
        <v>45314</v>
      </c>
      <c r="B24" t="s">
        <v>13</v>
      </c>
      <c r="C24" t="s">
        <v>18</v>
      </c>
      <c r="D24">
        <v>45</v>
      </c>
      <c r="E24">
        <v>58044</v>
      </c>
      <c r="F24">
        <v>2611980</v>
      </c>
    </row>
    <row r="25" spans="1:6" x14ac:dyDescent="0.35">
      <c r="A25" s="3">
        <v>45315</v>
      </c>
      <c r="B25" t="s">
        <v>8</v>
      </c>
      <c r="C25" t="s">
        <v>9</v>
      </c>
      <c r="D25">
        <v>25</v>
      </c>
      <c r="E25">
        <v>60774</v>
      </c>
      <c r="F25">
        <v>1519350</v>
      </c>
    </row>
    <row r="26" spans="1:6" x14ac:dyDescent="0.35">
      <c r="A26" s="3">
        <v>45316</v>
      </c>
      <c r="B26" t="s">
        <v>15</v>
      </c>
      <c r="C26" t="s">
        <v>23</v>
      </c>
      <c r="D26">
        <v>44</v>
      </c>
      <c r="E26">
        <v>153767</v>
      </c>
      <c r="F26">
        <v>6765748</v>
      </c>
    </row>
    <row r="27" spans="1:6" x14ac:dyDescent="0.35">
      <c r="A27" s="3">
        <v>45317</v>
      </c>
      <c r="B27" t="s">
        <v>10</v>
      </c>
      <c r="C27" t="s">
        <v>11</v>
      </c>
      <c r="D27">
        <v>17</v>
      </c>
      <c r="E27">
        <v>184231</v>
      </c>
      <c r="F27">
        <v>3131927</v>
      </c>
    </row>
    <row r="28" spans="1:6" x14ac:dyDescent="0.35">
      <c r="A28" s="3">
        <v>45318</v>
      </c>
      <c r="B28" t="s">
        <v>10</v>
      </c>
      <c r="C28" t="s">
        <v>11</v>
      </c>
      <c r="D28">
        <v>33</v>
      </c>
      <c r="E28">
        <v>32666</v>
      </c>
      <c r="F28">
        <v>1077978</v>
      </c>
    </row>
    <row r="29" spans="1:6" x14ac:dyDescent="0.35">
      <c r="A29" s="3">
        <v>45319</v>
      </c>
      <c r="B29" t="s">
        <v>8</v>
      </c>
      <c r="C29" t="s">
        <v>22</v>
      </c>
      <c r="D29">
        <v>39</v>
      </c>
      <c r="E29">
        <v>84505</v>
      </c>
      <c r="F29">
        <v>3295695</v>
      </c>
    </row>
    <row r="30" spans="1:6" x14ac:dyDescent="0.35">
      <c r="A30" s="3">
        <v>45320</v>
      </c>
      <c r="B30" t="s">
        <v>15</v>
      </c>
      <c r="C30" t="s">
        <v>16</v>
      </c>
      <c r="D30">
        <v>9</v>
      </c>
      <c r="E30">
        <v>50535</v>
      </c>
      <c r="F30">
        <v>454815</v>
      </c>
    </row>
    <row r="31" spans="1:6" x14ac:dyDescent="0.35">
      <c r="A31" s="3">
        <v>45321</v>
      </c>
      <c r="B31" t="s">
        <v>6</v>
      </c>
      <c r="C31" t="s">
        <v>21</v>
      </c>
      <c r="D31">
        <v>33</v>
      </c>
      <c r="E31">
        <v>109135</v>
      </c>
      <c r="F31">
        <v>3601455</v>
      </c>
    </row>
    <row r="32" spans="1:6" x14ac:dyDescent="0.35">
      <c r="A32" s="3">
        <v>45322</v>
      </c>
      <c r="B32" t="s">
        <v>8</v>
      </c>
      <c r="C32" t="s">
        <v>12</v>
      </c>
      <c r="D32">
        <v>44</v>
      </c>
      <c r="E32">
        <v>214407</v>
      </c>
      <c r="F32">
        <v>9433908</v>
      </c>
    </row>
    <row r="33" spans="1:6" x14ac:dyDescent="0.35">
      <c r="A33" s="3">
        <v>45323</v>
      </c>
      <c r="B33" t="s">
        <v>10</v>
      </c>
      <c r="C33" t="s">
        <v>11</v>
      </c>
      <c r="D33">
        <v>1</v>
      </c>
      <c r="E33">
        <v>249090</v>
      </c>
      <c r="F33">
        <v>249090</v>
      </c>
    </row>
    <row r="34" spans="1:6" x14ac:dyDescent="0.35">
      <c r="A34" s="3">
        <v>45324</v>
      </c>
      <c r="B34" t="s">
        <v>8</v>
      </c>
      <c r="C34" t="s">
        <v>12</v>
      </c>
      <c r="D34">
        <v>14</v>
      </c>
      <c r="E34">
        <v>178338</v>
      </c>
      <c r="F34">
        <v>2496732</v>
      </c>
    </row>
    <row r="35" spans="1:6" x14ac:dyDescent="0.35">
      <c r="A35" s="3">
        <v>45325</v>
      </c>
      <c r="B35" t="s">
        <v>15</v>
      </c>
      <c r="C35" t="s">
        <v>23</v>
      </c>
      <c r="D35">
        <v>26</v>
      </c>
      <c r="E35">
        <v>118806</v>
      </c>
      <c r="F35">
        <v>3088956</v>
      </c>
    </row>
    <row r="36" spans="1:6" x14ac:dyDescent="0.35">
      <c r="A36" s="3">
        <v>45326</v>
      </c>
      <c r="B36" t="s">
        <v>10</v>
      </c>
      <c r="C36" t="s">
        <v>24</v>
      </c>
      <c r="D36">
        <v>15</v>
      </c>
      <c r="E36">
        <v>238126</v>
      </c>
      <c r="F36">
        <v>3571890</v>
      </c>
    </row>
    <row r="37" spans="1:6" x14ac:dyDescent="0.35">
      <c r="A37" s="3">
        <v>45327</v>
      </c>
      <c r="B37" t="s">
        <v>13</v>
      </c>
      <c r="C37" t="s">
        <v>14</v>
      </c>
      <c r="D37">
        <v>13</v>
      </c>
      <c r="E37">
        <v>70015</v>
      </c>
      <c r="F37">
        <v>910195</v>
      </c>
    </row>
    <row r="38" spans="1:6" x14ac:dyDescent="0.35">
      <c r="A38" s="3">
        <v>45328</v>
      </c>
      <c r="B38" t="s">
        <v>15</v>
      </c>
      <c r="C38" t="s">
        <v>23</v>
      </c>
      <c r="D38">
        <v>32</v>
      </c>
      <c r="E38">
        <v>107939</v>
      </c>
      <c r="F38">
        <v>3454048</v>
      </c>
    </row>
    <row r="39" spans="1:6" x14ac:dyDescent="0.35">
      <c r="A39" s="3">
        <v>45329</v>
      </c>
      <c r="B39" t="s">
        <v>8</v>
      </c>
      <c r="C39" t="s">
        <v>12</v>
      </c>
      <c r="D39">
        <v>39</v>
      </c>
      <c r="E39">
        <v>207116</v>
      </c>
      <c r="F39">
        <v>8077524</v>
      </c>
    </row>
    <row r="40" spans="1:6" x14ac:dyDescent="0.35">
      <c r="A40" s="3">
        <v>45330</v>
      </c>
      <c r="B40" t="s">
        <v>10</v>
      </c>
      <c r="C40" t="s">
        <v>24</v>
      </c>
      <c r="D40">
        <v>36</v>
      </c>
      <c r="E40">
        <v>206892</v>
      </c>
      <c r="F40">
        <v>7448112</v>
      </c>
    </row>
    <row r="41" spans="1:6" x14ac:dyDescent="0.35">
      <c r="A41" s="3">
        <v>45331</v>
      </c>
      <c r="B41" t="s">
        <v>10</v>
      </c>
      <c r="C41" t="s">
        <v>11</v>
      </c>
      <c r="D41">
        <v>22</v>
      </c>
      <c r="E41">
        <v>173371</v>
      </c>
      <c r="F41">
        <v>3814162</v>
      </c>
    </row>
    <row r="42" spans="1:6" x14ac:dyDescent="0.35">
      <c r="A42" s="3">
        <v>45332</v>
      </c>
      <c r="B42" t="s">
        <v>13</v>
      </c>
      <c r="C42" t="s">
        <v>14</v>
      </c>
      <c r="D42">
        <v>45</v>
      </c>
      <c r="E42">
        <v>193629</v>
      </c>
      <c r="F42">
        <v>8713305</v>
      </c>
    </row>
    <row r="43" spans="1:6" x14ac:dyDescent="0.35">
      <c r="A43" s="3">
        <v>45333</v>
      </c>
      <c r="B43" t="s">
        <v>15</v>
      </c>
      <c r="C43" t="s">
        <v>23</v>
      </c>
      <c r="D43">
        <v>6</v>
      </c>
      <c r="E43">
        <v>246075</v>
      </c>
      <c r="F43">
        <v>1476450</v>
      </c>
    </row>
    <row r="44" spans="1:6" x14ac:dyDescent="0.35">
      <c r="A44" s="3">
        <v>45334</v>
      </c>
      <c r="B44" t="s">
        <v>6</v>
      </c>
      <c r="C44" t="s">
        <v>21</v>
      </c>
      <c r="D44">
        <v>11</v>
      </c>
      <c r="E44">
        <v>38047</v>
      </c>
      <c r="F44">
        <v>418517</v>
      </c>
    </row>
    <row r="45" spans="1:6" x14ac:dyDescent="0.35">
      <c r="A45" s="3">
        <v>45335</v>
      </c>
      <c r="B45" t="s">
        <v>13</v>
      </c>
      <c r="C45" t="s">
        <v>19</v>
      </c>
      <c r="D45">
        <v>28</v>
      </c>
      <c r="E45">
        <v>173048</v>
      </c>
      <c r="F45">
        <v>4845344</v>
      </c>
    </row>
    <row r="46" spans="1:6" x14ac:dyDescent="0.35">
      <c r="A46" s="3">
        <v>45336</v>
      </c>
      <c r="B46" t="s">
        <v>15</v>
      </c>
      <c r="C46" t="s">
        <v>23</v>
      </c>
      <c r="D46">
        <v>27</v>
      </c>
      <c r="E46">
        <v>212445</v>
      </c>
      <c r="F46">
        <v>5736015</v>
      </c>
    </row>
    <row r="47" spans="1:6" x14ac:dyDescent="0.35">
      <c r="A47" s="3">
        <v>45337</v>
      </c>
      <c r="B47" t="s">
        <v>15</v>
      </c>
      <c r="C47" t="s">
        <v>23</v>
      </c>
      <c r="D47">
        <v>41</v>
      </c>
      <c r="E47">
        <v>160546</v>
      </c>
      <c r="F47">
        <v>6582386</v>
      </c>
    </row>
    <row r="48" spans="1:6" x14ac:dyDescent="0.35">
      <c r="A48" s="3">
        <v>45338</v>
      </c>
      <c r="B48" t="s">
        <v>10</v>
      </c>
      <c r="C48" t="s">
        <v>24</v>
      </c>
      <c r="D48">
        <v>37</v>
      </c>
      <c r="E48">
        <v>248576</v>
      </c>
      <c r="F48">
        <v>9197312</v>
      </c>
    </row>
    <row r="49" spans="1:6" x14ac:dyDescent="0.35">
      <c r="A49" s="3">
        <v>45339</v>
      </c>
      <c r="B49" t="s">
        <v>10</v>
      </c>
      <c r="C49" t="s">
        <v>25</v>
      </c>
      <c r="D49">
        <v>44</v>
      </c>
      <c r="E49">
        <v>217271</v>
      </c>
      <c r="F49">
        <v>9559924</v>
      </c>
    </row>
    <row r="50" spans="1:6" x14ac:dyDescent="0.35">
      <c r="A50" s="3">
        <v>45340</v>
      </c>
      <c r="B50" t="s">
        <v>10</v>
      </c>
      <c r="C50" t="s">
        <v>25</v>
      </c>
      <c r="D50">
        <v>32</v>
      </c>
      <c r="E50">
        <v>246911</v>
      </c>
      <c r="F50">
        <v>7901152</v>
      </c>
    </row>
    <row r="51" spans="1:6" x14ac:dyDescent="0.35">
      <c r="A51" s="3">
        <v>45341</v>
      </c>
      <c r="B51" t="s">
        <v>15</v>
      </c>
      <c r="C51" t="s">
        <v>23</v>
      </c>
      <c r="D51">
        <v>49</v>
      </c>
      <c r="E51">
        <v>59353</v>
      </c>
      <c r="F51">
        <v>2908297</v>
      </c>
    </row>
    <row r="52" spans="1:6" x14ac:dyDescent="0.35">
      <c r="A52" s="3">
        <v>45342</v>
      </c>
      <c r="B52" t="s">
        <v>6</v>
      </c>
      <c r="C52" t="s">
        <v>21</v>
      </c>
      <c r="D52">
        <v>39</v>
      </c>
      <c r="E52">
        <v>240546</v>
      </c>
      <c r="F52">
        <v>9381294</v>
      </c>
    </row>
    <row r="53" spans="1:6" x14ac:dyDescent="0.35">
      <c r="A53" s="3">
        <v>45343</v>
      </c>
      <c r="B53" t="s">
        <v>15</v>
      </c>
      <c r="C53" t="s">
        <v>23</v>
      </c>
      <c r="D53">
        <v>49</v>
      </c>
      <c r="E53">
        <v>113264</v>
      </c>
      <c r="F53">
        <v>5549936</v>
      </c>
    </row>
    <row r="54" spans="1:6" x14ac:dyDescent="0.35">
      <c r="A54" s="3">
        <v>45344</v>
      </c>
      <c r="B54" t="s">
        <v>10</v>
      </c>
      <c r="C54" t="s">
        <v>24</v>
      </c>
      <c r="D54">
        <v>2</v>
      </c>
      <c r="E54">
        <v>132859</v>
      </c>
      <c r="F54">
        <v>265718</v>
      </c>
    </row>
    <row r="55" spans="1:6" x14ac:dyDescent="0.35">
      <c r="A55" s="3">
        <v>45345</v>
      </c>
      <c r="B55" t="s">
        <v>8</v>
      </c>
      <c r="C55" t="s">
        <v>9</v>
      </c>
      <c r="D55">
        <v>1</v>
      </c>
      <c r="E55">
        <v>197789</v>
      </c>
      <c r="F55">
        <v>197789</v>
      </c>
    </row>
    <row r="56" spans="1:6" x14ac:dyDescent="0.35">
      <c r="A56" s="3">
        <v>45346</v>
      </c>
      <c r="B56" t="s">
        <v>13</v>
      </c>
      <c r="C56" t="s">
        <v>18</v>
      </c>
      <c r="D56">
        <v>44</v>
      </c>
      <c r="E56">
        <v>145657</v>
      </c>
      <c r="F56">
        <v>6408908</v>
      </c>
    </row>
    <row r="57" spans="1:6" x14ac:dyDescent="0.35">
      <c r="A57" s="3">
        <v>45347</v>
      </c>
      <c r="B57" t="s">
        <v>6</v>
      </c>
      <c r="C57" t="s">
        <v>17</v>
      </c>
      <c r="D57">
        <v>11</v>
      </c>
      <c r="E57">
        <v>129751</v>
      </c>
      <c r="F57">
        <v>1427261</v>
      </c>
    </row>
    <row r="58" spans="1:6" x14ac:dyDescent="0.35">
      <c r="A58" s="3">
        <v>45348</v>
      </c>
      <c r="B58" t="s">
        <v>10</v>
      </c>
      <c r="C58" t="s">
        <v>24</v>
      </c>
      <c r="D58">
        <v>38</v>
      </c>
      <c r="E58">
        <v>218935</v>
      </c>
      <c r="F58">
        <v>8319530</v>
      </c>
    </row>
    <row r="59" spans="1:6" x14ac:dyDescent="0.35">
      <c r="A59" s="3">
        <v>45349</v>
      </c>
      <c r="B59" t="s">
        <v>8</v>
      </c>
      <c r="C59" t="s">
        <v>22</v>
      </c>
      <c r="D59">
        <v>6</v>
      </c>
      <c r="E59">
        <v>109045</v>
      </c>
      <c r="F59">
        <v>654270</v>
      </c>
    </row>
    <row r="60" spans="1:6" x14ac:dyDescent="0.35">
      <c r="A60" s="3">
        <v>45350</v>
      </c>
      <c r="B60" t="s">
        <v>10</v>
      </c>
      <c r="C60" t="s">
        <v>11</v>
      </c>
      <c r="D60">
        <v>48</v>
      </c>
      <c r="E60">
        <v>42671</v>
      </c>
      <c r="F60">
        <v>2048208</v>
      </c>
    </row>
    <row r="61" spans="1:6" x14ac:dyDescent="0.35">
      <c r="A61" s="3">
        <v>45351</v>
      </c>
      <c r="B61" t="s">
        <v>15</v>
      </c>
      <c r="C61" t="s">
        <v>23</v>
      </c>
      <c r="D61">
        <v>6</v>
      </c>
      <c r="E61">
        <v>71663</v>
      </c>
      <c r="F61">
        <v>429978</v>
      </c>
    </row>
    <row r="62" spans="1:6" x14ac:dyDescent="0.35">
      <c r="A62" s="3">
        <v>45352</v>
      </c>
      <c r="B62" t="s">
        <v>8</v>
      </c>
      <c r="C62" t="s">
        <v>12</v>
      </c>
      <c r="D62">
        <v>20</v>
      </c>
      <c r="E62">
        <v>153883</v>
      </c>
      <c r="F62">
        <v>3077660</v>
      </c>
    </row>
    <row r="63" spans="1:6" x14ac:dyDescent="0.35">
      <c r="A63" s="3">
        <v>45353</v>
      </c>
      <c r="B63" t="s">
        <v>10</v>
      </c>
      <c r="C63" t="s">
        <v>11</v>
      </c>
      <c r="D63">
        <v>26</v>
      </c>
      <c r="E63">
        <v>54754</v>
      </c>
      <c r="F63">
        <v>1423604</v>
      </c>
    </row>
    <row r="64" spans="1:6" x14ac:dyDescent="0.35">
      <c r="A64" s="3">
        <v>45354</v>
      </c>
      <c r="B64" t="s">
        <v>10</v>
      </c>
      <c r="C64" t="s">
        <v>11</v>
      </c>
      <c r="D64">
        <v>41</v>
      </c>
      <c r="E64">
        <v>104896</v>
      </c>
      <c r="F64">
        <v>4300736</v>
      </c>
    </row>
    <row r="65" spans="1:6" x14ac:dyDescent="0.35">
      <c r="A65" s="3">
        <v>45355</v>
      </c>
      <c r="B65" t="s">
        <v>13</v>
      </c>
      <c r="C65" t="s">
        <v>18</v>
      </c>
      <c r="D65">
        <v>11</v>
      </c>
      <c r="E65">
        <v>28155</v>
      </c>
      <c r="F65">
        <v>309705</v>
      </c>
    </row>
    <row r="66" spans="1:6" x14ac:dyDescent="0.35">
      <c r="A66" s="3">
        <v>45356</v>
      </c>
      <c r="B66" t="s">
        <v>15</v>
      </c>
      <c r="C66" t="s">
        <v>23</v>
      </c>
      <c r="D66">
        <v>23</v>
      </c>
      <c r="E66">
        <v>41918</v>
      </c>
      <c r="F66">
        <v>964114</v>
      </c>
    </row>
    <row r="67" spans="1:6" x14ac:dyDescent="0.35">
      <c r="A67" s="3">
        <v>45357</v>
      </c>
      <c r="B67" t="s">
        <v>13</v>
      </c>
      <c r="C67" t="s">
        <v>19</v>
      </c>
      <c r="D67">
        <v>7</v>
      </c>
      <c r="E67">
        <v>66843</v>
      </c>
      <c r="F67">
        <v>467901</v>
      </c>
    </row>
    <row r="68" spans="1:6" x14ac:dyDescent="0.35">
      <c r="A68" s="3">
        <v>45358</v>
      </c>
      <c r="B68" t="s">
        <v>13</v>
      </c>
      <c r="C68" t="s">
        <v>18</v>
      </c>
      <c r="D68">
        <v>49</v>
      </c>
      <c r="E68">
        <v>153121</v>
      </c>
      <c r="F68">
        <v>7502929</v>
      </c>
    </row>
    <row r="69" spans="1:6" x14ac:dyDescent="0.35">
      <c r="A69" s="3">
        <v>45359</v>
      </c>
      <c r="B69" t="s">
        <v>15</v>
      </c>
      <c r="C69" t="s">
        <v>20</v>
      </c>
      <c r="D69">
        <v>12</v>
      </c>
      <c r="E69">
        <v>40932</v>
      </c>
      <c r="F69">
        <v>491184</v>
      </c>
    </row>
    <row r="70" spans="1:6" x14ac:dyDescent="0.35">
      <c r="A70" s="3">
        <v>45360</v>
      </c>
      <c r="B70" t="s">
        <v>8</v>
      </c>
      <c r="C70" t="s">
        <v>12</v>
      </c>
      <c r="D70">
        <v>9</v>
      </c>
      <c r="E70">
        <v>27400</v>
      </c>
      <c r="F70">
        <v>246600</v>
      </c>
    </row>
    <row r="71" spans="1:6" x14ac:dyDescent="0.35">
      <c r="A71" s="3">
        <v>45361</v>
      </c>
      <c r="B71" t="s">
        <v>10</v>
      </c>
      <c r="C71" t="s">
        <v>11</v>
      </c>
      <c r="D71">
        <v>48</v>
      </c>
      <c r="E71">
        <v>202479</v>
      </c>
      <c r="F71">
        <v>9718992</v>
      </c>
    </row>
    <row r="72" spans="1:6" x14ac:dyDescent="0.35">
      <c r="A72" s="3">
        <v>45362</v>
      </c>
      <c r="B72" t="s">
        <v>10</v>
      </c>
      <c r="C72" t="s">
        <v>25</v>
      </c>
      <c r="D72">
        <v>33</v>
      </c>
      <c r="E72">
        <v>32183</v>
      </c>
      <c r="F72">
        <v>1062039</v>
      </c>
    </row>
    <row r="73" spans="1:6" x14ac:dyDescent="0.35">
      <c r="A73" s="3">
        <v>45363</v>
      </c>
      <c r="B73" t="s">
        <v>6</v>
      </c>
      <c r="C73" t="s">
        <v>17</v>
      </c>
      <c r="D73">
        <v>49</v>
      </c>
      <c r="E73">
        <v>52711</v>
      </c>
      <c r="F73">
        <v>2582839</v>
      </c>
    </row>
    <row r="74" spans="1:6" x14ac:dyDescent="0.35">
      <c r="A74" s="3">
        <v>45364</v>
      </c>
      <c r="B74" t="s">
        <v>6</v>
      </c>
      <c r="C74" t="s">
        <v>21</v>
      </c>
      <c r="D74">
        <v>40</v>
      </c>
      <c r="E74">
        <v>212339</v>
      </c>
      <c r="F74">
        <v>8493560</v>
      </c>
    </row>
    <row r="75" spans="1:6" x14ac:dyDescent="0.35">
      <c r="A75" s="3">
        <v>45365</v>
      </c>
      <c r="B75" t="s">
        <v>10</v>
      </c>
      <c r="C75" t="s">
        <v>25</v>
      </c>
      <c r="D75">
        <v>25</v>
      </c>
      <c r="E75">
        <v>233090</v>
      </c>
      <c r="F75">
        <v>5827250</v>
      </c>
    </row>
    <row r="76" spans="1:6" x14ac:dyDescent="0.35">
      <c r="A76" s="3">
        <v>45366</v>
      </c>
      <c r="B76" t="s">
        <v>15</v>
      </c>
      <c r="C76" t="s">
        <v>23</v>
      </c>
      <c r="D76">
        <v>18</v>
      </c>
      <c r="E76">
        <v>198047</v>
      </c>
      <c r="F76">
        <v>3564846</v>
      </c>
    </row>
    <row r="77" spans="1:6" x14ac:dyDescent="0.35">
      <c r="A77" s="3">
        <v>45367</v>
      </c>
      <c r="B77" t="s">
        <v>13</v>
      </c>
      <c r="C77" t="s">
        <v>14</v>
      </c>
      <c r="D77">
        <v>35</v>
      </c>
      <c r="E77">
        <v>212207</v>
      </c>
      <c r="F77">
        <v>7427245</v>
      </c>
    </row>
    <row r="78" spans="1:6" x14ac:dyDescent="0.35">
      <c r="A78" s="3">
        <v>45368</v>
      </c>
      <c r="B78" t="s">
        <v>8</v>
      </c>
      <c r="C78" t="s">
        <v>9</v>
      </c>
      <c r="D78">
        <v>36</v>
      </c>
      <c r="E78">
        <v>110272</v>
      </c>
      <c r="F78">
        <v>3969792</v>
      </c>
    </row>
    <row r="79" spans="1:6" x14ac:dyDescent="0.35">
      <c r="A79" s="3">
        <v>45369</v>
      </c>
      <c r="B79" t="s">
        <v>6</v>
      </c>
      <c r="C79" t="s">
        <v>7</v>
      </c>
      <c r="D79">
        <v>14</v>
      </c>
      <c r="E79">
        <v>111412</v>
      </c>
      <c r="F79">
        <v>1559768</v>
      </c>
    </row>
    <row r="80" spans="1:6" x14ac:dyDescent="0.35">
      <c r="A80" s="3">
        <v>45370</v>
      </c>
      <c r="B80" t="s">
        <v>6</v>
      </c>
      <c r="C80" t="s">
        <v>17</v>
      </c>
      <c r="D80">
        <v>3</v>
      </c>
      <c r="E80">
        <v>106416</v>
      </c>
      <c r="F80">
        <v>319248</v>
      </c>
    </row>
    <row r="81" spans="1:6" x14ac:dyDescent="0.35">
      <c r="A81" s="3">
        <v>45371</v>
      </c>
      <c r="B81" t="s">
        <v>15</v>
      </c>
      <c r="C81" t="s">
        <v>16</v>
      </c>
      <c r="D81">
        <v>22</v>
      </c>
      <c r="E81">
        <v>39830</v>
      </c>
      <c r="F81">
        <v>876260</v>
      </c>
    </row>
    <row r="82" spans="1:6" x14ac:dyDescent="0.35">
      <c r="A82" s="3">
        <v>45372</v>
      </c>
      <c r="B82" t="s">
        <v>8</v>
      </c>
      <c r="C82" t="s">
        <v>12</v>
      </c>
      <c r="D82">
        <v>8</v>
      </c>
      <c r="E82">
        <v>170810</v>
      </c>
      <c r="F82">
        <v>1366480</v>
      </c>
    </row>
    <row r="83" spans="1:6" x14ac:dyDescent="0.35">
      <c r="A83" s="3">
        <v>45373</v>
      </c>
      <c r="B83" t="s">
        <v>10</v>
      </c>
      <c r="C83" t="s">
        <v>25</v>
      </c>
      <c r="D83">
        <v>21</v>
      </c>
      <c r="E83">
        <v>74045</v>
      </c>
      <c r="F83">
        <v>1554945</v>
      </c>
    </row>
    <row r="84" spans="1:6" x14ac:dyDescent="0.35">
      <c r="A84" s="3">
        <v>45374</v>
      </c>
      <c r="B84" t="s">
        <v>15</v>
      </c>
      <c r="C84" t="s">
        <v>16</v>
      </c>
      <c r="D84">
        <v>33</v>
      </c>
      <c r="E84">
        <v>245732</v>
      </c>
      <c r="F84">
        <v>8109156</v>
      </c>
    </row>
    <row r="85" spans="1:6" x14ac:dyDescent="0.35">
      <c r="A85" s="3">
        <v>45375</v>
      </c>
      <c r="B85" t="s">
        <v>6</v>
      </c>
      <c r="C85" t="s">
        <v>7</v>
      </c>
      <c r="D85">
        <v>48</v>
      </c>
      <c r="E85">
        <v>65714</v>
      </c>
      <c r="F85">
        <v>3154272</v>
      </c>
    </row>
    <row r="86" spans="1:6" x14ac:dyDescent="0.35">
      <c r="A86" s="3">
        <v>45376</v>
      </c>
      <c r="B86" t="s">
        <v>6</v>
      </c>
      <c r="C86" t="s">
        <v>17</v>
      </c>
      <c r="D86">
        <v>49</v>
      </c>
      <c r="E86">
        <v>125983</v>
      </c>
      <c r="F86">
        <v>6173167</v>
      </c>
    </row>
    <row r="87" spans="1:6" x14ac:dyDescent="0.35">
      <c r="A87" s="3">
        <v>45377</v>
      </c>
      <c r="B87" t="s">
        <v>15</v>
      </c>
      <c r="C87" t="s">
        <v>20</v>
      </c>
      <c r="D87">
        <v>29</v>
      </c>
      <c r="E87">
        <v>102989</v>
      </c>
      <c r="F87">
        <v>2986681</v>
      </c>
    </row>
    <row r="88" spans="1:6" x14ac:dyDescent="0.35">
      <c r="A88" s="3">
        <v>45378</v>
      </c>
      <c r="B88" t="s">
        <v>8</v>
      </c>
      <c r="C88" t="s">
        <v>22</v>
      </c>
      <c r="D88">
        <v>35</v>
      </c>
      <c r="E88">
        <v>183707</v>
      </c>
      <c r="F88">
        <v>6429745</v>
      </c>
    </row>
    <row r="89" spans="1:6" x14ac:dyDescent="0.35">
      <c r="A89" s="3">
        <v>45379</v>
      </c>
      <c r="B89" t="s">
        <v>15</v>
      </c>
      <c r="C89" t="s">
        <v>23</v>
      </c>
      <c r="D89">
        <v>24</v>
      </c>
      <c r="E89">
        <v>23420</v>
      </c>
      <c r="F89">
        <v>562080</v>
      </c>
    </row>
    <row r="90" spans="1:6" x14ac:dyDescent="0.35">
      <c r="A90" s="3">
        <v>45380</v>
      </c>
      <c r="B90" t="s">
        <v>15</v>
      </c>
      <c r="C90" t="s">
        <v>20</v>
      </c>
      <c r="D90">
        <v>31</v>
      </c>
      <c r="E90">
        <v>217307</v>
      </c>
      <c r="F90">
        <v>6736517</v>
      </c>
    </row>
    <row r="91" spans="1:6" x14ac:dyDescent="0.35">
      <c r="A91" s="3">
        <v>45381</v>
      </c>
      <c r="B91" t="s">
        <v>15</v>
      </c>
      <c r="C91" t="s">
        <v>16</v>
      </c>
      <c r="D91">
        <v>21</v>
      </c>
      <c r="E91">
        <v>26102</v>
      </c>
      <c r="F91">
        <v>548142</v>
      </c>
    </row>
    <row r="92" spans="1:6" x14ac:dyDescent="0.35">
      <c r="A92" s="3">
        <v>45382</v>
      </c>
      <c r="B92" t="s">
        <v>15</v>
      </c>
      <c r="C92" t="s">
        <v>16</v>
      </c>
      <c r="D92">
        <v>18</v>
      </c>
      <c r="E92">
        <v>185656</v>
      </c>
      <c r="F92">
        <v>3341808</v>
      </c>
    </row>
    <row r="93" spans="1:6" x14ac:dyDescent="0.35">
      <c r="A93" s="3">
        <v>45383</v>
      </c>
      <c r="B93" t="s">
        <v>13</v>
      </c>
      <c r="C93" t="s">
        <v>19</v>
      </c>
      <c r="D93">
        <v>3</v>
      </c>
      <c r="E93">
        <v>202957</v>
      </c>
      <c r="F93">
        <v>608871</v>
      </c>
    </row>
    <row r="94" spans="1:6" x14ac:dyDescent="0.35">
      <c r="A94" s="3">
        <v>45384</v>
      </c>
      <c r="B94" t="s">
        <v>13</v>
      </c>
      <c r="C94" t="s">
        <v>19</v>
      </c>
      <c r="D94">
        <v>22</v>
      </c>
      <c r="E94">
        <v>38070</v>
      </c>
      <c r="F94">
        <v>837540</v>
      </c>
    </row>
    <row r="95" spans="1:6" x14ac:dyDescent="0.35">
      <c r="A95" s="3">
        <v>45385</v>
      </c>
      <c r="B95" t="s">
        <v>13</v>
      </c>
      <c r="C95" t="s">
        <v>19</v>
      </c>
      <c r="D95">
        <v>27</v>
      </c>
      <c r="E95">
        <v>30729</v>
      </c>
      <c r="F95">
        <v>829683</v>
      </c>
    </row>
    <row r="96" spans="1:6" x14ac:dyDescent="0.35">
      <c r="A96" s="3">
        <v>45386</v>
      </c>
      <c r="B96" t="s">
        <v>13</v>
      </c>
      <c r="C96" t="s">
        <v>14</v>
      </c>
      <c r="D96">
        <v>17</v>
      </c>
      <c r="E96">
        <v>178823</v>
      </c>
      <c r="F96">
        <v>3039991</v>
      </c>
    </row>
    <row r="97" spans="1:6" x14ac:dyDescent="0.35">
      <c r="A97" s="3">
        <v>45387</v>
      </c>
      <c r="B97" t="s">
        <v>15</v>
      </c>
      <c r="C97" t="s">
        <v>23</v>
      </c>
      <c r="D97">
        <v>43</v>
      </c>
      <c r="E97">
        <v>229141</v>
      </c>
      <c r="F97">
        <v>9853063</v>
      </c>
    </row>
    <row r="98" spans="1:6" x14ac:dyDescent="0.35">
      <c r="A98" s="3">
        <v>45388</v>
      </c>
      <c r="B98" t="s">
        <v>8</v>
      </c>
      <c r="C98" t="s">
        <v>22</v>
      </c>
      <c r="D98">
        <v>26</v>
      </c>
      <c r="E98">
        <v>202065</v>
      </c>
      <c r="F98">
        <v>5253690</v>
      </c>
    </row>
    <row r="99" spans="1:6" x14ac:dyDescent="0.35">
      <c r="A99" s="3">
        <v>45389</v>
      </c>
      <c r="B99" t="s">
        <v>15</v>
      </c>
      <c r="C99" t="s">
        <v>23</v>
      </c>
      <c r="D99">
        <v>7</v>
      </c>
      <c r="E99">
        <v>240984</v>
      </c>
      <c r="F99">
        <v>1686888</v>
      </c>
    </row>
    <row r="100" spans="1:6" x14ac:dyDescent="0.35">
      <c r="A100" s="3">
        <v>45390</v>
      </c>
      <c r="B100" t="s">
        <v>6</v>
      </c>
      <c r="C100" t="s">
        <v>7</v>
      </c>
      <c r="D100">
        <v>20</v>
      </c>
      <c r="E100">
        <v>22368</v>
      </c>
      <c r="F100">
        <v>447360</v>
      </c>
    </row>
    <row r="101" spans="1:6" x14ac:dyDescent="0.35">
      <c r="A101" s="3">
        <v>45391</v>
      </c>
      <c r="B101" t="s">
        <v>6</v>
      </c>
      <c r="C101" t="s">
        <v>17</v>
      </c>
      <c r="D101">
        <v>23</v>
      </c>
      <c r="E101">
        <v>144046</v>
      </c>
      <c r="F101">
        <v>3313058</v>
      </c>
    </row>
    <row r="103" spans="1:6" x14ac:dyDescent="0.35">
      <c r="A103" s="7" t="s">
        <v>26</v>
      </c>
      <c r="B103" s="7"/>
      <c r="C103" s="7"/>
      <c r="D103">
        <f>AVERAGE(D2:D101)</f>
        <v>27.16</v>
      </c>
      <c r="E103">
        <f>AVERAGE(E2:E101)</f>
        <v>141121.16</v>
      </c>
      <c r="F103">
        <f>AVERAGE(F2:F101)</f>
        <v>3986798.48</v>
      </c>
    </row>
    <row r="104" spans="1:6" x14ac:dyDescent="0.35">
      <c r="A104" s="7" t="s">
        <v>27</v>
      </c>
      <c r="B104" s="7"/>
      <c r="C104" s="7"/>
      <c r="D104">
        <f>MEDIAN(D2:D101)</f>
        <v>27</v>
      </c>
      <c r="E104">
        <f>MEDIAN(E2:E101)</f>
        <v>149389</v>
      </c>
      <c r="F104">
        <f>MEDIAN(F2:F101)</f>
        <v>3152423</v>
      </c>
    </row>
    <row r="105" spans="1:6" x14ac:dyDescent="0.35">
      <c r="A105" s="7" t="s">
        <v>28</v>
      </c>
      <c r="B105" s="7"/>
      <c r="C105" s="7"/>
      <c r="D105">
        <f>_xlfn.MODE.SNGL(D2:D101)</f>
        <v>44</v>
      </c>
    </row>
    <row r="106" spans="1:6" x14ac:dyDescent="0.35">
      <c r="A106" s="7" t="s">
        <v>29</v>
      </c>
      <c r="B106" s="7"/>
      <c r="C106" s="7"/>
      <c r="D106">
        <f>_xlfn.STDEV.S(D2:D101)</f>
        <v>14.407293326995916</v>
      </c>
      <c r="E106">
        <f>_xlfn.STDEV.S(E2:E101)</f>
        <v>73087.495295848013</v>
      </c>
      <c r="F106">
        <f>_xlfn.STDEV.S(F2:F101)</f>
        <v>3172838.3169236467</v>
      </c>
    </row>
    <row r="107" spans="1:6" x14ac:dyDescent="0.35">
      <c r="A107" s="7" t="s">
        <v>35</v>
      </c>
      <c r="B107" s="7"/>
      <c r="C107" s="7"/>
    </row>
    <row r="108" spans="1:6" x14ac:dyDescent="0.35">
      <c r="A108" s="6" t="s">
        <v>36</v>
      </c>
      <c r="B108" s="6"/>
      <c r="C108" s="6"/>
      <c r="D108">
        <f>CORREL(D2:D101, F2:F101)</f>
        <v>0.72598627274942507</v>
      </c>
    </row>
    <row r="109" spans="1:6" x14ac:dyDescent="0.35">
      <c r="A109" s="6" t="s">
        <v>37</v>
      </c>
      <c r="B109" s="6"/>
      <c r="C109" s="6"/>
      <c r="D109">
        <f>CORREL(D2:D101, E2:E101)</f>
        <v>0.14767695976701992</v>
      </c>
    </row>
    <row r="110" spans="1:6" x14ac:dyDescent="0.35">
      <c r="A110" s="6" t="s">
        <v>38</v>
      </c>
      <c r="B110" s="6"/>
      <c r="C110" s="6"/>
      <c r="D110">
        <f>CORREL(E2:E101, F2:F101)</f>
        <v>0.71134562089845055</v>
      </c>
    </row>
    <row r="111" spans="1:6" x14ac:dyDescent="0.35">
      <c r="A111" s="7" t="s">
        <v>30</v>
      </c>
      <c r="B111" s="7"/>
      <c r="C111" s="7"/>
    </row>
    <row r="112" spans="1:6" x14ac:dyDescent="0.35">
      <c r="A112" s="6" t="s">
        <v>39</v>
      </c>
      <c r="B112" s="6"/>
      <c r="C112" s="6"/>
    </row>
    <row r="128" spans="1:3" x14ac:dyDescent="0.35">
      <c r="A128" s="6" t="s">
        <v>40</v>
      </c>
      <c r="B128" s="6"/>
      <c r="C128" s="6"/>
    </row>
    <row r="144" spans="1:3" x14ac:dyDescent="0.35">
      <c r="A144" s="6" t="s">
        <v>41</v>
      </c>
      <c r="B144" s="6"/>
      <c r="C144" s="6"/>
    </row>
  </sheetData>
  <mergeCells count="12">
    <mergeCell ref="A103:C103"/>
    <mergeCell ref="A104:C104"/>
    <mergeCell ref="A105:C105"/>
    <mergeCell ref="A106:C106"/>
    <mergeCell ref="A111:C111"/>
    <mergeCell ref="A112:C112"/>
    <mergeCell ref="A128:C128"/>
    <mergeCell ref="A144:C144"/>
    <mergeCell ref="A107:C107"/>
    <mergeCell ref="A108:C108"/>
    <mergeCell ref="A109:C109"/>
    <mergeCell ref="A110:C110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CE889-20C9-4E7B-8B28-AFF351FB5839}">
  <dimension ref="A1:B9"/>
  <sheetViews>
    <sheetView workbookViewId="0">
      <selection sqref="A1:B1"/>
    </sheetView>
  </sheetViews>
  <sheetFormatPr defaultRowHeight="14.5" x14ac:dyDescent="0.35"/>
  <cols>
    <col min="1" max="1" width="12.36328125" bestFit="1" customWidth="1"/>
    <col min="2" max="2" width="15.81640625" bestFit="1" customWidth="1"/>
  </cols>
  <sheetData>
    <row r="1" spans="1:2" x14ac:dyDescent="0.35">
      <c r="A1" s="8" t="s">
        <v>34</v>
      </c>
      <c r="B1" s="8"/>
    </row>
    <row r="3" spans="1:2" x14ac:dyDescent="0.35">
      <c r="A3" s="4" t="s">
        <v>31</v>
      </c>
      <c r="B3" t="s">
        <v>33</v>
      </c>
    </row>
    <row r="4" spans="1:2" x14ac:dyDescent="0.35">
      <c r="A4" s="5" t="s">
        <v>8</v>
      </c>
      <c r="B4">
        <v>17</v>
      </c>
    </row>
    <row r="5" spans="1:2" x14ac:dyDescent="0.35">
      <c r="A5" s="5" t="s">
        <v>15</v>
      </c>
      <c r="B5">
        <v>24</v>
      </c>
    </row>
    <row r="6" spans="1:2" x14ac:dyDescent="0.35">
      <c r="A6" s="5" t="s">
        <v>13</v>
      </c>
      <c r="B6">
        <v>21</v>
      </c>
    </row>
    <row r="7" spans="1:2" x14ac:dyDescent="0.35">
      <c r="A7" s="5" t="s">
        <v>6</v>
      </c>
      <c r="B7">
        <v>17</v>
      </c>
    </row>
    <row r="8" spans="1:2" x14ac:dyDescent="0.35">
      <c r="A8" s="5" t="s">
        <v>10</v>
      </c>
      <c r="B8">
        <v>21</v>
      </c>
    </row>
    <row r="9" spans="1:2" x14ac:dyDescent="0.35">
      <c r="A9" s="5" t="s">
        <v>32</v>
      </c>
      <c r="B9">
        <v>100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31BCC-6674-4D7B-B598-46E61664AA33}">
  <dimension ref="A1:AN105"/>
  <sheetViews>
    <sheetView tabSelected="1" topLeftCell="AD1" zoomScale="64" workbookViewId="0">
      <selection activeCell="AY13" sqref="AY13"/>
    </sheetView>
  </sheetViews>
  <sheetFormatPr defaultRowHeight="14.5" x14ac:dyDescent="0.35"/>
  <cols>
    <col min="1" max="1" width="15.90625" customWidth="1"/>
    <col min="2" max="2" width="9" bestFit="1" customWidth="1"/>
    <col min="13" max="13" width="11.90625" bestFit="1" customWidth="1"/>
    <col min="14" max="14" width="14.08984375" customWidth="1"/>
    <col min="15" max="15" width="9" bestFit="1" customWidth="1"/>
    <col min="26" max="26" width="14.1796875" customWidth="1"/>
  </cols>
  <sheetData>
    <row r="1" spans="1:40" x14ac:dyDescent="0.35">
      <c r="A1" s="1" t="s">
        <v>2</v>
      </c>
      <c r="B1" s="1" t="s">
        <v>5</v>
      </c>
    </row>
    <row r="2" spans="1:40" x14ac:dyDescent="0.35">
      <c r="A2" t="s">
        <v>7</v>
      </c>
      <c r="B2">
        <v>2098185</v>
      </c>
    </row>
    <row r="3" spans="1:40" x14ac:dyDescent="0.35">
      <c r="A3" t="s">
        <v>9</v>
      </c>
      <c r="B3">
        <v>6136143</v>
      </c>
    </row>
    <row r="4" spans="1:40" x14ac:dyDescent="0.35">
      <c r="A4" t="s">
        <v>11</v>
      </c>
      <c r="B4">
        <v>1182478</v>
      </c>
    </row>
    <row r="5" spans="1:40" x14ac:dyDescent="0.35">
      <c r="A5" t="s">
        <v>12</v>
      </c>
      <c r="B5">
        <v>1866040</v>
      </c>
      <c r="M5" s="2" t="s">
        <v>0</v>
      </c>
      <c r="N5" s="1" t="s">
        <v>3</v>
      </c>
      <c r="O5" s="1" t="s">
        <v>5</v>
      </c>
      <c r="Z5" s="1" t="s">
        <v>1</v>
      </c>
      <c r="AA5" s="1" t="s">
        <v>3</v>
      </c>
      <c r="AL5" s="1" t="s">
        <v>3</v>
      </c>
      <c r="AM5" s="1" t="s">
        <v>5</v>
      </c>
      <c r="AN5" s="1" t="s">
        <v>4</v>
      </c>
    </row>
    <row r="6" spans="1:40" x14ac:dyDescent="0.35">
      <c r="A6" t="s">
        <v>14</v>
      </c>
      <c r="B6">
        <v>8323558</v>
      </c>
      <c r="M6" s="3">
        <v>45292</v>
      </c>
      <c r="N6">
        <v>15</v>
      </c>
      <c r="O6">
        <v>2098185</v>
      </c>
      <c r="Z6" t="s">
        <v>6</v>
      </c>
      <c r="AA6">
        <v>15</v>
      </c>
      <c r="AL6">
        <v>15</v>
      </c>
      <c r="AM6">
        <v>2098185</v>
      </c>
      <c r="AN6">
        <v>139879</v>
      </c>
    </row>
    <row r="7" spans="1:40" x14ac:dyDescent="0.35">
      <c r="A7" t="s">
        <v>7</v>
      </c>
      <c r="B7">
        <v>6757707</v>
      </c>
      <c r="M7" s="3">
        <v>45293</v>
      </c>
      <c r="N7">
        <v>39</v>
      </c>
      <c r="O7">
        <v>6136143</v>
      </c>
      <c r="Z7" t="s">
        <v>8</v>
      </c>
      <c r="AA7">
        <v>39</v>
      </c>
      <c r="AL7">
        <v>39</v>
      </c>
      <c r="AM7">
        <v>6136143</v>
      </c>
      <c r="AN7">
        <v>157337</v>
      </c>
    </row>
    <row r="8" spans="1:40" x14ac:dyDescent="0.35">
      <c r="A8" t="s">
        <v>14</v>
      </c>
      <c r="B8">
        <v>10739872</v>
      </c>
      <c r="M8" s="3">
        <v>45294</v>
      </c>
      <c r="N8">
        <v>11</v>
      </c>
      <c r="O8">
        <v>1182478</v>
      </c>
      <c r="Z8" t="s">
        <v>10</v>
      </c>
      <c r="AA8">
        <v>11</v>
      </c>
      <c r="AL8">
        <v>11</v>
      </c>
      <c r="AM8">
        <v>1182478</v>
      </c>
      <c r="AN8">
        <v>107498</v>
      </c>
    </row>
    <row r="9" spans="1:40" x14ac:dyDescent="0.35">
      <c r="A9" t="s">
        <v>16</v>
      </c>
      <c r="B9">
        <v>7119126</v>
      </c>
      <c r="M9" s="3">
        <v>45295</v>
      </c>
      <c r="N9">
        <v>22</v>
      </c>
      <c r="O9">
        <v>1866040</v>
      </c>
      <c r="Z9" t="s">
        <v>8</v>
      </c>
      <c r="AA9">
        <v>22</v>
      </c>
      <c r="AL9">
        <v>22</v>
      </c>
      <c r="AM9">
        <v>1866040</v>
      </c>
      <c r="AN9">
        <v>84820</v>
      </c>
    </row>
    <row r="10" spans="1:40" x14ac:dyDescent="0.35">
      <c r="A10" t="s">
        <v>17</v>
      </c>
      <c r="B10">
        <v>8781715</v>
      </c>
      <c r="M10" s="3">
        <v>45296</v>
      </c>
      <c r="N10">
        <v>38</v>
      </c>
      <c r="O10">
        <v>8323558</v>
      </c>
      <c r="Z10" t="s">
        <v>13</v>
      </c>
      <c r="AA10">
        <v>38</v>
      </c>
      <c r="AL10">
        <v>38</v>
      </c>
      <c r="AM10">
        <v>8323558</v>
      </c>
      <c r="AN10">
        <v>219041</v>
      </c>
    </row>
    <row r="11" spans="1:40" x14ac:dyDescent="0.35">
      <c r="A11" t="s">
        <v>11</v>
      </c>
      <c r="B11">
        <v>267276</v>
      </c>
      <c r="M11" s="3">
        <v>45297</v>
      </c>
      <c r="N11">
        <v>33</v>
      </c>
      <c r="O11">
        <v>6757707</v>
      </c>
      <c r="Z11" t="s">
        <v>6</v>
      </c>
      <c r="AA11">
        <v>33</v>
      </c>
      <c r="AL11">
        <v>33</v>
      </c>
      <c r="AM11">
        <v>6757707</v>
      </c>
      <c r="AN11">
        <v>204779</v>
      </c>
    </row>
    <row r="12" spans="1:40" x14ac:dyDescent="0.35">
      <c r="A12" t="s">
        <v>11</v>
      </c>
      <c r="B12">
        <v>4853310</v>
      </c>
      <c r="M12" s="3">
        <v>45298</v>
      </c>
      <c r="N12">
        <v>44</v>
      </c>
      <c r="O12">
        <v>10739872</v>
      </c>
      <c r="Z12" t="s">
        <v>13</v>
      </c>
      <c r="AA12">
        <v>44</v>
      </c>
      <c r="AL12">
        <v>44</v>
      </c>
      <c r="AM12">
        <v>10739872</v>
      </c>
      <c r="AN12">
        <v>244088</v>
      </c>
    </row>
    <row r="13" spans="1:40" x14ac:dyDescent="0.35">
      <c r="A13" t="s">
        <v>18</v>
      </c>
      <c r="B13">
        <v>3150574</v>
      </c>
      <c r="M13" s="3">
        <v>45299</v>
      </c>
      <c r="N13">
        <v>42</v>
      </c>
      <c r="O13">
        <v>7119126</v>
      </c>
      <c r="Z13" t="s">
        <v>15</v>
      </c>
      <c r="AA13">
        <v>42</v>
      </c>
      <c r="AL13">
        <v>42</v>
      </c>
      <c r="AM13">
        <v>7119126</v>
      </c>
      <c r="AN13">
        <v>169503</v>
      </c>
    </row>
    <row r="14" spans="1:40" x14ac:dyDescent="0.35">
      <c r="A14" t="s">
        <v>18</v>
      </c>
      <c r="B14">
        <v>2291848</v>
      </c>
      <c r="M14" s="3">
        <v>45300</v>
      </c>
      <c r="N14">
        <v>47</v>
      </c>
      <c r="O14">
        <v>8781715</v>
      </c>
      <c r="Z14" t="s">
        <v>6</v>
      </c>
      <c r="AA14">
        <v>47</v>
      </c>
      <c r="AL14">
        <v>47</v>
      </c>
      <c r="AM14">
        <v>8781715</v>
      </c>
      <c r="AN14">
        <v>186845</v>
      </c>
    </row>
    <row r="15" spans="1:40" x14ac:dyDescent="0.35">
      <c r="A15" t="s">
        <v>19</v>
      </c>
      <c r="B15">
        <v>479885</v>
      </c>
      <c r="M15" s="3">
        <v>45301</v>
      </c>
      <c r="N15">
        <v>3</v>
      </c>
      <c r="O15">
        <v>267276</v>
      </c>
      <c r="Z15" t="s">
        <v>10</v>
      </c>
      <c r="AA15">
        <v>3</v>
      </c>
      <c r="AL15">
        <v>3</v>
      </c>
      <c r="AM15">
        <v>267276</v>
      </c>
      <c r="AN15">
        <v>89092</v>
      </c>
    </row>
    <row r="16" spans="1:40" x14ac:dyDescent="0.35">
      <c r="A16" t="s">
        <v>12</v>
      </c>
      <c r="B16">
        <v>3502695</v>
      </c>
      <c r="M16" s="3">
        <v>45302</v>
      </c>
      <c r="N16">
        <v>21</v>
      </c>
      <c r="O16">
        <v>4853310</v>
      </c>
      <c r="Z16" t="s">
        <v>10</v>
      </c>
      <c r="AA16">
        <v>21</v>
      </c>
      <c r="AL16">
        <v>21</v>
      </c>
      <c r="AM16">
        <v>4853310</v>
      </c>
      <c r="AN16">
        <v>231110</v>
      </c>
    </row>
    <row r="17" spans="1:40" x14ac:dyDescent="0.35">
      <c r="A17" t="s">
        <v>20</v>
      </c>
      <c r="B17">
        <v>9621880</v>
      </c>
      <c r="M17" s="3">
        <v>45303</v>
      </c>
      <c r="N17">
        <v>14</v>
      </c>
      <c r="O17">
        <v>3150574</v>
      </c>
      <c r="Z17" t="s">
        <v>13</v>
      </c>
      <c r="AA17">
        <v>14</v>
      </c>
      <c r="AL17">
        <v>14</v>
      </c>
      <c r="AM17">
        <v>3150574</v>
      </c>
      <c r="AN17">
        <v>225041</v>
      </c>
    </row>
    <row r="18" spans="1:40" x14ac:dyDescent="0.35">
      <c r="A18" t="s">
        <v>14</v>
      </c>
      <c r="B18">
        <v>593718</v>
      </c>
      <c r="M18" s="3">
        <v>45304</v>
      </c>
      <c r="N18">
        <v>26</v>
      </c>
      <c r="O18">
        <v>2291848</v>
      </c>
      <c r="Z18" t="s">
        <v>13</v>
      </c>
      <c r="AA18">
        <v>26</v>
      </c>
      <c r="AL18">
        <v>26</v>
      </c>
      <c r="AM18">
        <v>2291848</v>
      </c>
      <c r="AN18">
        <v>88148</v>
      </c>
    </row>
    <row r="19" spans="1:40" x14ac:dyDescent="0.35">
      <c r="A19" t="s">
        <v>21</v>
      </c>
      <c r="B19">
        <v>5708070</v>
      </c>
      <c r="M19" s="3">
        <v>45305</v>
      </c>
      <c r="N19">
        <v>7</v>
      </c>
      <c r="O19">
        <v>479885</v>
      </c>
      <c r="Z19" t="s">
        <v>13</v>
      </c>
      <c r="AA19">
        <v>7</v>
      </c>
      <c r="AL19">
        <v>7</v>
      </c>
      <c r="AM19">
        <v>479885</v>
      </c>
      <c r="AN19">
        <v>68555</v>
      </c>
    </row>
    <row r="20" spans="1:40" x14ac:dyDescent="0.35">
      <c r="A20" t="s">
        <v>14</v>
      </c>
      <c r="B20">
        <v>9537836</v>
      </c>
      <c r="M20" s="3">
        <v>45306</v>
      </c>
      <c r="N20">
        <v>35</v>
      </c>
      <c r="O20">
        <v>3502695</v>
      </c>
      <c r="Z20" t="s">
        <v>8</v>
      </c>
      <c r="AA20">
        <v>35</v>
      </c>
      <c r="AL20">
        <v>35</v>
      </c>
      <c r="AM20">
        <v>3502695</v>
      </c>
      <c r="AN20">
        <v>100077</v>
      </c>
    </row>
    <row r="21" spans="1:40" x14ac:dyDescent="0.35">
      <c r="A21" t="s">
        <v>14</v>
      </c>
      <c r="B21">
        <v>6612408</v>
      </c>
      <c r="M21" s="3">
        <v>45307</v>
      </c>
      <c r="N21">
        <v>40</v>
      </c>
      <c r="O21">
        <v>9621880</v>
      </c>
      <c r="Z21" t="s">
        <v>15</v>
      </c>
      <c r="AA21">
        <v>40</v>
      </c>
      <c r="AL21">
        <v>40</v>
      </c>
      <c r="AM21">
        <v>9621880</v>
      </c>
      <c r="AN21">
        <v>240547</v>
      </c>
    </row>
    <row r="22" spans="1:40" x14ac:dyDescent="0.35">
      <c r="A22" t="s">
        <v>7</v>
      </c>
      <c r="B22">
        <v>9635360</v>
      </c>
      <c r="M22" s="3">
        <v>45308</v>
      </c>
      <c r="N22">
        <v>6</v>
      </c>
      <c r="O22">
        <v>593718</v>
      </c>
      <c r="Z22" t="s">
        <v>13</v>
      </c>
      <c r="AA22">
        <v>6</v>
      </c>
      <c r="AL22">
        <v>6</v>
      </c>
      <c r="AM22">
        <v>593718</v>
      </c>
      <c r="AN22">
        <v>98953</v>
      </c>
    </row>
    <row r="23" spans="1:40" x14ac:dyDescent="0.35">
      <c r="A23" t="s">
        <v>22</v>
      </c>
      <c r="B23">
        <v>1375596</v>
      </c>
      <c r="M23" s="3">
        <v>45309</v>
      </c>
      <c r="N23">
        <v>29</v>
      </c>
      <c r="O23">
        <v>5708070</v>
      </c>
      <c r="Z23" t="s">
        <v>6</v>
      </c>
      <c r="AA23">
        <v>29</v>
      </c>
      <c r="AL23">
        <v>29</v>
      </c>
      <c r="AM23">
        <v>5708070</v>
      </c>
      <c r="AN23">
        <v>196830</v>
      </c>
    </row>
    <row r="24" spans="1:40" x14ac:dyDescent="0.35">
      <c r="A24" t="s">
        <v>18</v>
      </c>
      <c r="B24">
        <v>2611980</v>
      </c>
      <c r="M24" s="3">
        <v>45310</v>
      </c>
      <c r="N24">
        <v>44</v>
      </c>
      <c r="O24">
        <v>9537836</v>
      </c>
      <c r="Z24" t="s">
        <v>13</v>
      </c>
      <c r="AA24">
        <v>44</v>
      </c>
      <c r="AL24">
        <v>44</v>
      </c>
      <c r="AM24">
        <v>9537836</v>
      </c>
      <c r="AN24">
        <v>216769</v>
      </c>
    </row>
    <row r="25" spans="1:40" x14ac:dyDescent="0.35">
      <c r="A25" t="s">
        <v>9</v>
      </c>
      <c r="B25">
        <v>1519350</v>
      </c>
      <c r="M25" s="3">
        <v>45311</v>
      </c>
      <c r="N25">
        <v>36</v>
      </c>
      <c r="O25">
        <v>6612408</v>
      </c>
      <c r="Z25" t="s">
        <v>13</v>
      </c>
      <c r="AA25">
        <v>36</v>
      </c>
      <c r="AL25">
        <v>36</v>
      </c>
      <c r="AM25">
        <v>6612408</v>
      </c>
      <c r="AN25">
        <v>183678</v>
      </c>
    </row>
    <row r="26" spans="1:40" x14ac:dyDescent="0.35">
      <c r="A26" t="s">
        <v>23</v>
      </c>
      <c r="B26">
        <v>6765748</v>
      </c>
      <c r="M26" s="3">
        <v>45312</v>
      </c>
      <c r="N26">
        <v>40</v>
      </c>
      <c r="O26">
        <v>9635360</v>
      </c>
      <c r="Z26" t="s">
        <v>6</v>
      </c>
      <c r="AA26">
        <v>40</v>
      </c>
      <c r="AL26">
        <v>40</v>
      </c>
      <c r="AM26">
        <v>9635360</v>
      </c>
      <c r="AN26">
        <v>240884</v>
      </c>
    </row>
    <row r="27" spans="1:40" x14ac:dyDescent="0.35">
      <c r="A27" t="s">
        <v>11</v>
      </c>
      <c r="B27">
        <v>3131927</v>
      </c>
      <c r="M27" s="3">
        <v>45313</v>
      </c>
      <c r="N27">
        <v>47</v>
      </c>
      <c r="O27">
        <v>1375596</v>
      </c>
      <c r="Z27" t="s">
        <v>8</v>
      </c>
      <c r="AA27">
        <v>47</v>
      </c>
      <c r="AL27">
        <v>47</v>
      </c>
      <c r="AM27">
        <v>1375596</v>
      </c>
      <c r="AN27">
        <v>29268</v>
      </c>
    </row>
    <row r="28" spans="1:40" x14ac:dyDescent="0.35">
      <c r="A28" t="s">
        <v>11</v>
      </c>
      <c r="B28">
        <v>1077978</v>
      </c>
      <c r="M28" s="3">
        <v>45314</v>
      </c>
      <c r="N28">
        <v>45</v>
      </c>
      <c r="O28">
        <v>2611980</v>
      </c>
      <c r="Z28" t="s">
        <v>13</v>
      </c>
      <c r="AA28">
        <v>45</v>
      </c>
      <c r="AL28">
        <v>45</v>
      </c>
      <c r="AM28">
        <v>2611980</v>
      </c>
      <c r="AN28">
        <v>58044</v>
      </c>
    </row>
    <row r="29" spans="1:40" x14ac:dyDescent="0.35">
      <c r="A29" t="s">
        <v>22</v>
      </c>
      <c r="B29">
        <v>3295695</v>
      </c>
      <c r="M29" s="3">
        <v>45315</v>
      </c>
      <c r="N29">
        <v>25</v>
      </c>
      <c r="O29">
        <v>1519350</v>
      </c>
      <c r="Z29" t="s">
        <v>8</v>
      </c>
      <c r="AA29">
        <v>25</v>
      </c>
      <c r="AL29">
        <v>25</v>
      </c>
      <c r="AM29">
        <v>1519350</v>
      </c>
      <c r="AN29">
        <v>60774</v>
      </c>
    </row>
    <row r="30" spans="1:40" x14ac:dyDescent="0.35">
      <c r="A30" t="s">
        <v>16</v>
      </c>
      <c r="B30">
        <v>454815</v>
      </c>
      <c r="M30" s="3">
        <v>45316</v>
      </c>
      <c r="N30">
        <v>44</v>
      </c>
      <c r="O30">
        <v>6765748</v>
      </c>
      <c r="Z30" t="s">
        <v>15</v>
      </c>
      <c r="AA30">
        <v>44</v>
      </c>
      <c r="AL30">
        <v>44</v>
      </c>
      <c r="AM30">
        <v>6765748</v>
      </c>
      <c r="AN30">
        <v>153767</v>
      </c>
    </row>
    <row r="31" spans="1:40" x14ac:dyDescent="0.35">
      <c r="A31" t="s">
        <v>21</v>
      </c>
      <c r="B31">
        <v>3601455</v>
      </c>
      <c r="M31" s="3">
        <v>45317</v>
      </c>
      <c r="N31">
        <v>17</v>
      </c>
      <c r="O31">
        <v>3131927</v>
      </c>
      <c r="Z31" t="s">
        <v>10</v>
      </c>
      <c r="AA31">
        <v>17</v>
      </c>
      <c r="AL31">
        <v>17</v>
      </c>
      <c r="AM31">
        <v>3131927</v>
      </c>
      <c r="AN31">
        <v>184231</v>
      </c>
    </row>
    <row r="32" spans="1:40" x14ac:dyDescent="0.35">
      <c r="A32" t="s">
        <v>12</v>
      </c>
      <c r="B32">
        <v>9433908</v>
      </c>
      <c r="M32" s="3">
        <v>45318</v>
      </c>
      <c r="N32">
        <v>33</v>
      </c>
      <c r="O32">
        <v>1077978</v>
      </c>
      <c r="Z32" t="s">
        <v>10</v>
      </c>
      <c r="AA32">
        <v>33</v>
      </c>
      <c r="AL32">
        <v>33</v>
      </c>
      <c r="AM32">
        <v>1077978</v>
      </c>
      <c r="AN32">
        <v>32666</v>
      </c>
    </row>
    <row r="33" spans="1:40" x14ac:dyDescent="0.35">
      <c r="A33" t="s">
        <v>11</v>
      </c>
      <c r="B33">
        <v>249090</v>
      </c>
      <c r="M33" s="3">
        <v>45319</v>
      </c>
      <c r="N33">
        <v>39</v>
      </c>
      <c r="O33">
        <v>3295695</v>
      </c>
      <c r="Z33" t="s">
        <v>8</v>
      </c>
      <c r="AA33">
        <v>39</v>
      </c>
      <c r="AL33">
        <v>39</v>
      </c>
      <c r="AM33">
        <v>3295695</v>
      </c>
      <c r="AN33">
        <v>84505</v>
      </c>
    </row>
    <row r="34" spans="1:40" x14ac:dyDescent="0.35">
      <c r="A34" t="s">
        <v>12</v>
      </c>
      <c r="B34">
        <v>2496732</v>
      </c>
      <c r="M34" s="3">
        <v>45320</v>
      </c>
      <c r="N34">
        <v>9</v>
      </c>
      <c r="O34">
        <v>454815</v>
      </c>
      <c r="Z34" t="s">
        <v>15</v>
      </c>
      <c r="AA34">
        <v>9</v>
      </c>
      <c r="AL34">
        <v>9</v>
      </c>
      <c r="AM34">
        <v>454815</v>
      </c>
      <c r="AN34">
        <v>50535</v>
      </c>
    </row>
    <row r="35" spans="1:40" x14ac:dyDescent="0.35">
      <c r="A35" t="s">
        <v>23</v>
      </c>
      <c r="B35">
        <v>3088956</v>
      </c>
      <c r="M35" s="3">
        <v>45321</v>
      </c>
      <c r="N35">
        <v>33</v>
      </c>
      <c r="O35">
        <v>3601455</v>
      </c>
      <c r="Z35" t="s">
        <v>6</v>
      </c>
      <c r="AA35">
        <v>33</v>
      </c>
      <c r="AL35">
        <v>33</v>
      </c>
      <c r="AM35">
        <v>3601455</v>
      </c>
      <c r="AN35">
        <v>109135</v>
      </c>
    </row>
    <row r="36" spans="1:40" x14ac:dyDescent="0.35">
      <c r="A36" t="s">
        <v>24</v>
      </c>
      <c r="B36">
        <v>3571890</v>
      </c>
      <c r="M36" s="3">
        <v>45322</v>
      </c>
      <c r="N36">
        <v>44</v>
      </c>
      <c r="O36">
        <v>9433908</v>
      </c>
      <c r="Z36" t="s">
        <v>8</v>
      </c>
      <c r="AA36">
        <v>44</v>
      </c>
      <c r="AL36">
        <v>44</v>
      </c>
      <c r="AM36">
        <v>9433908</v>
      </c>
      <c r="AN36">
        <v>214407</v>
      </c>
    </row>
    <row r="37" spans="1:40" x14ac:dyDescent="0.35">
      <c r="A37" t="s">
        <v>14</v>
      </c>
      <c r="B37">
        <v>910195</v>
      </c>
      <c r="M37" s="3">
        <v>45323</v>
      </c>
      <c r="N37">
        <v>1</v>
      </c>
      <c r="O37">
        <v>249090</v>
      </c>
      <c r="Z37" t="s">
        <v>10</v>
      </c>
      <c r="AA37">
        <v>1</v>
      </c>
      <c r="AL37">
        <v>1</v>
      </c>
      <c r="AM37">
        <v>249090</v>
      </c>
      <c r="AN37">
        <v>249090</v>
      </c>
    </row>
    <row r="38" spans="1:40" x14ac:dyDescent="0.35">
      <c r="A38" t="s">
        <v>23</v>
      </c>
      <c r="B38">
        <v>3454048</v>
      </c>
      <c r="M38" s="3">
        <v>45324</v>
      </c>
      <c r="N38">
        <v>14</v>
      </c>
      <c r="O38">
        <v>2496732</v>
      </c>
      <c r="Z38" t="s">
        <v>8</v>
      </c>
      <c r="AA38">
        <v>14</v>
      </c>
      <c r="AL38">
        <v>14</v>
      </c>
      <c r="AM38">
        <v>2496732</v>
      </c>
      <c r="AN38">
        <v>178338</v>
      </c>
    </row>
    <row r="39" spans="1:40" x14ac:dyDescent="0.35">
      <c r="A39" t="s">
        <v>12</v>
      </c>
      <c r="B39">
        <v>8077524</v>
      </c>
      <c r="M39" s="3">
        <v>45325</v>
      </c>
      <c r="N39">
        <v>26</v>
      </c>
      <c r="O39">
        <v>3088956</v>
      </c>
      <c r="Z39" t="s">
        <v>15</v>
      </c>
      <c r="AA39">
        <v>26</v>
      </c>
      <c r="AL39">
        <v>26</v>
      </c>
      <c r="AM39">
        <v>3088956</v>
      </c>
      <c r="AN39">
        <v>118806</v>
      </c>
    </row>
    <row r="40" spans="1:40" x14ac:dyDescent="0.35">
      <c r="A40" t="s">
        <v>24</v>
      </c>
      <c r="B40">
        <v>7448112</v>
      </c>
      <c r="M40" s="3">
        <v>45326</v>
      </c>
      <c r="N40">
        <v>15</v>
      </c>
      <c r="O40">
        <v>3571890</v>
      </c>
      <c r="Z40" t="s">
        <v>10</v>
      </c>
      <c r="AA40">
        <v>15</v>
      </c>
      <c r="AL40">
        <v>15</v>
      </c>
      <c r="AM40">
        <v>3571890</v>
      </c>
      <c r="AN40">
        <v>238126</v>
      </c>
    </row>
    <row r="41" spans="1:40" x14ac:dyDescent="0.35">
      <c r="A41" t="s">
        <v>11</v>
      </c>
      <c r="B41">
        <v>3814162</v>
      </c>
      <c r="M41" s="3">
        <v>45327</v>
      </c>
      <c r="N41">
        <v>13</v>
      </c>
      <c r="O41">
        <v>910195</v>
      </c>
      <c r="Z41" t="s">
        <v>13</v>
      </c>
      <c r="AA41">
        <v>13</v>
      </c>
      <c r="AL41">
        <v>13</v>
      </c>
      <c r="AM41">
        <v>910195</v>
      </c>
      <c r="AN41">
        <v>70015</v>
      </c>
    </row>
    <row r="42" spans="1:40" x14ac:dyDescent="0.35">
      <c r="A42" t="s">
        <v>14</v>
      </c>
      <c r="B42">
        <v>8713305</v>
      </c>
      <c r="M42" s="3">
        <v>45328</v>
      </c>
      <c r="N42">
        <v>32</v>
      </c>
      <c r="O42">
        <v>3454048</v>
      </c>
      <c r="Z42" t="s">
        <v>15</v>
      </c>
      <c r="AA42">
        <v>32</v>
      </c>
      <c r="AL42">
        <v>32</v>
      </c>
      <c r="AM42">
        <v>3454048</v>
      </c>
      <c r="AN42">
        <v>107939</v>
      </c>
    </row>
    <row r="43" spans="1:40" x14ac:dyDescent="0.35">
      <c r="A43" t="s">
        <v>23</v>
      </c>
      <c r="B43">
        <v>1476450</v>
      </c>
      <c r="M43" s="3">
        <v>45329</v>
      </c>
      <c r="N43">
        <v>39</v>
      </c>
      <c r="O43">
        <v>8077524</v>
      </c>
      <c r="Z43" t="s">
        <v>8</v>
      </c>
      <c r="AA43">
        <v>39</v>
      </c>
      <c r="AL43">
        <v>39</v>
      </c>
      <c r="AM43">
        <v>8077524</v>
      </c>
      <c r="AN43">
        <v>207116</v>
      </c>
    </row>
    <row r="44" spans="1:40" x14ac:dyDescent="0.35">
      <c r="A44" t="s">
        <v>21</v>
      </c>
      <c r="B44">
        <v>418517</v>
      </c>
      <c r="M44" s="3">
        <v>45330</v>
      </c>
      <c r="N44">
        <v>36</v>
      </c>
      <c r="O44">
        <v>7448112</v>
      </c>
      <c r="Z44" t="s">
        <v>10</v>
      </c>
      <c r="AA44">
        <v>36</v>
      </c>
      <c r="AL44">
        <v>36</v>
      </c>
      <c r="AM44">
        <v>7448112</v>
      </c>
      <c r="AN44">
        <v>206892</v>
      </c>
    </row>
    <row r="45" spans="1:40" x14ac:dyDescent="0.35">
      <c r="A45" t="s">
        <v>19</v>
      </c>
      <c r="B45">
        <v>4845344</v>
      </c>
      <c r="M45" s="3">
        <v>45331</v>
      </c>
      <c r="N45">
        <v>22</v>
      </c>
      <c r="O45">
        <v>3814162</v>
      </c>
      <c r="Z45" t="s">
        <v>10</v>
      </c>
      <c r="AA45">
        <v>22</v>
      </c>
      <c r="AL45">
        <v>22</v>
      </c>
      <c r="AM45">
        <v>3814162</v>
      </c>
      <c r="AN45">
        <v>173371</v>
      </c>
    </row>
    <row r="46" spans="1:40" x14ac:dyDescent="0.35">
      <c r="A46" t="s">
        <v>23</v>
      </c>
      <c r="B46">
        <v>5736015</v>
      </c>
      <c r="M46" s="3">
        <v>45332</v>
      </c>
      <c r="N46">
        <v>45</v>
      </c>
      <c r="O46">
        <v>8713305</v>
      </c>
      <c r="Z46" t="s">
        <v>13</v>
      </c>
      <c r="AA46">
        <v>45</v>
      </c>
      <c r="AL46">
        <v>45</v>
      </c>
      <c r="AM46">
        <v>8713305</v>
      </c>
      <c r="AN46">
        <v>193629</v>
      </c>
    </row>
    <row r="47" spans="1:40" x14ac:dyDescent="0.35">
      <c r="A47" t="s">
        <v>23</v>
      </c>
      <c r="B47">
        <v>6582386</v>
      </c>
      <c r="M47" s="3">
        <v>45333</v>
      </c>
      <c r="N47">
        <v>6</v>
      </c>
      <c r="O47">
        <v>1476450</v>
      </c>
      <c r="Z47" t="s">
        <v>15</v>
      </c>
      <c r="AA47">
        <v>6</v>
      </c>
      <c r="AL47">
        <v>6</v>
      </c>
      <c r="AM47">
        <v>1476450</v>
      </c>
      <c r="AN47">
        <v>246075</v>
      </c>
    </row>
    <row r="48" spans="1:40" x14ac:dyDescent="0.35">
      <c r="A48" t="s">
        <v>24</v>
      </c>
      <c r="B48">
        <v>9197312</v>
      </c>
      <c r="M48" s="3">
        <v>45334</v>
      </c>
      <c r="N48">
        <v>11</v>
      </c>
      <c r="O48">
        <v>418517</v>
      </c>
      <c r="Z48" t="s">
        <v>6</v>
      </c>
      <c r="AA48">
        <v>11</v>
      </c>
      <c r="AL48">
        <v>11</v>
      </c>
      <c r="AM48">
        <v>418517</v>
      </c>
      <c r="AN48">
        <v>38047</v>
      </c>
    </row>
    <row r="49" spans="1:40" x14ac:dyDescent="0.35">
      <c r="A49" t="s">
        <v>25</v>
      </c>
      <c r="B49">
        <v>9559924</v>
      </c>
      <c r="M49" s="3">
        <v>45335</v>
      </c>
      <c r="N49">
        <v>28</v>
      </c>
      <c r="O49">
        <v>4845344</v>
      </c>
      <c r="Z49" t="s">
        <v>13</v>
      </c>
      <c r="AA49">
        <v>28</v>
      </c>
      <c r="AL49">
        <v>28</v>
      </c>
      <c r="AM49">
        <v>4845344</v>
      </c>
      <c r="AN49">
        <v>173048</v>
      </c>
    </row>
    <row r="50" spans="1:40" x14ac:dyDescent="0.35">
      <c r="A50" t="s">
        <v>25</v>
      </c>
      <c r="B50">
        <v>7901152</v>
      </c>
      <c r="M50" s="3">
        <v>45336</v>
      </c>
      <c r="N50">
        <v>27</v>
      </c>
      <c r="O50">
        <v>5736015</v>
      </c>
      <c r="Z50" t="s">
        <v>15</v>
      </c>
      <c r="AA50">
        <v>27</v>
      </c>
      <c r="AL50">
        <v>27</v>
      </c>
      <c r="AM50">
        <v>5736015</v>
      </c>
      <c r="AN50">
        <v>212445</v>
      </c>
    </row>
    <row r="51" spans="1:40" x14ac:dyDescent="0.35">
      <c r="A51" t="s">
        <v>23</v>
      </c>
      <c r="B51">
        <v>2908297</v>
      </c>
      <c r="M51" s="3">
        <v>45337</v>
      </c>
      <c r="N51">
        <v>41</v>
      </c>
      <c r="O51">
        <v>6582386</v>
      </c>
      <c r="Z51" t="s">
        <v>15</v>
      </c>
      <c r="AA51">
        <v>41</v>
      </c>
      <c r="AL51">
        <v>41</v>
      </c>
      <c r="AM51">
        <v>6582386</v>
      </c>
      <c r="AN51">
        <v>160546</v>
      </c>
    </row>
    <row r="52" spans="1:40" x14ac:dyDescent="0.35">
      <c r="A52" t="s">
        <v>21</v>
      </c>
      <c r="B52">
        <v>9381294</v>
      </c>
      <c r="M52" s="3">
        <v>45338</v>
      </c>
      <c r="N52">
        <v>37</v>
      </c>
      <c r="O52">
        <v>9197312</v>
      </c>
      <c r="Z52" t="s">
        <v>10</v>
      </c>
      <c r="AA52">
        <v>37</v>
      </c>
      <c r="AL52">
        <v>37</v>
      </c>
      <c r="AM52">
        <v>9197312</v>
      </c>
      <c r="AN52">
        <v>248576</v>
      </c>
    </row>
    <row r="53" spans="1:40" x14ac:dyDescent="0.35">
      <c r="A53" t="s">
        <v>23</v>
      </c>
      <c r="B53">
        <v>5549936</v>
      </c>
      <c r="M53" s="3">
        <v>45339</v>
      </c>
      <c r="N53">
        <v>44</v>
      </c>
      <c r="O53">
        <v>9559924</v>
      </c>
      <c r="Z53" t="s">
        <v>10</v>
      </c>
      <c r="AA53">
        <v>44</v>
      </c>
      <c r="AL53">
        <v>44</v>
      </c>
      <c r="AM53">
        <v>9559924</v>
      </c>
      <c r="AN53">
        <v>217271</v>
      </c>
    </row>
    <row r="54" spans="1:40" x14ac:dyDescent="0.35">
      <c r="A54" t="s">
        <v>24</v>
      </c>
      <c r="B54">
        <v>265718</v>
      </c>
      <c r="M54" s="3">
        <v>45340</v>
      </c>
      <c r="N54">
        <v>32</v>
      </c>
      <c r="O54">
        <v>7901152</v>
      </c>
      <c r="Z54" t="s">
        <v>10</v>
      </c>
      <c r="AA54">
        <v>32</v>
      </c>
      <c r="AL54">
        <v>32</v>
      </c>
      <c r="AM54">
        <v>7901152</v>
      </c>
      <c r="AN54">
        <v>246911</v>
      </c>
    </row>
    <row r="55" spans="1:40" x14ac:dyDescent="0.35">
      <c r="A55" t="s">
        <v>9</v>
      </c>
      <c r="B55">
        <v>197789</v>
      </c>
      <c r="M55" s="3">
        <v>45341</v>
      </c>
      <c r="N55">
        <v>49</v>
      </c>
      <c r="O55">
        <v>2908297</v>
      </c>
      <c r="Z55" t="s">
        <v>15</v>
      </c>
      <c r="AA55">
        <v>49</v>
      </c>
      <c r="AL55">
        <v>49</v>
      </c>
      <c r="AM55">
        <v>2908297</v>
      </c>
      <c r="AN55">
        <v>59353</v>
      </c>
    </row>
    <row r="56" spans="1:40" x14ac:dyDescent="0.35">
      <c r="A56" t="s">
        <v>18</v>
      </c>
      <c r="B56">
        <v>6408908</v>
      </c>
      <c r="M56" s="3">
        <v>45342</v>
      </c>
      <c r="N56">
        <v>39</v>
      </c>
      <c r="O56">
        <v>9381294</v>
      </c>
      <c r="Z56" t="s">
        <v>6</v>
      </c>
      <c r="AA56">
        <v>39</v>
      </c>
      <c r="AL56">
        <v>39</v>
      </c>
      <c r="AM56">
        <v>9381294</v>
      </c>
      <c r="AN56">
        <v>240546</v>
      </c>
    </row>
    <row r="57" spans="1:40" x14ac:dyDescent="0.35">
      <c r="A57" t="s">
        <v>17</v>
      </c>
      <c r="B57">
        <v>1427261</v>
      </c>
      <c r="M57" s="3">
        <v>45343</v>
      </c>
      <c r="N57">
        <v>49</v>
      </c>
      <c r="O57">
        <v>5549936</v>
      </c>
      <c r="Z57" t="s">
        <v>15</v>
      </c>
      <c r="AA57">
        <v>49</v>
      </c>
      <c r="AL57">
        <v>49</v>
      </c>
      <c r="AM57">
        <v>5549936</v>
      </c>
      <c r="AN57">
        <v>113264</v>
      </c>
    </row>
    <row r="58" spans="1:40" x14ac:dyDescent="0.35">
      <c r="A58" t="s">
        <v>24</v>
      </c>
      <c r="B58">
        <v>8319530</v>
      </c>
      <c r="M58" s="3">
        <v>45344</v>
      </c>
      <c r="N58">
        <v>2</v>
      </c>
      <c r="O58">
        <v>265718</v>
      </c>
      <c r="Z58" t="s">
        <v>10</v>
      </c>
      <c r="AA58">
        <v>2</v>
      </c>
      <c r="AL58">
        <v>2</v>
      </c>
      <c r="AM58">
        <v>265718</v>
      </c>
      <c r="AN58">
        <v>132859</v>
      </c>
    </row>
    <row r="59" spans="1:40" x14ac:dyDescent="0.35">
      <c r="A59" t="s">
        <v>22</v>
      </c>
      <c r="B59">
        <v>654270</v>
      </c>
      <c r="M59" s="3">
        <v>45345</v>
      </c>
      <c r="N59">
        <v>1</v>
      </c>
      <c r="O59">
        <v>197789</v>
      </c>
      <c r="Z59" t="s">
        <v>8</v>
      </c>
      <c r="AA59">
        <v>1</v>
      </c>
      <c r="AL59">
        <v>1</v>
      </c>
      <c r="AM59">
        <v>197789</v>
      </c>
      <c r="AN59">
        <v>197789</v>
      </c>
    </row>
    <row r="60" spans="1:40" x14ac:dyDescent="0.35">
      <c r="A60" t="s">
        <v>11</v>
      </c>
      <c r="B60">
        <v>2048208</v>
      </c>
      <c r="M60" s="3">
        <v>45346</v>
      </c>
      <c r="N60">
        <v>44</v>
      </c>
      <c r="O60">
        <v>6408908</v>
      </c>
      <c r="Z60" t="s">
        <v>13</v>
      </c>
      <c r="AA60">
        <v>44</v>
      </c>
      <c r="AL60">
        <v>44</v>
      </c>
      <c r="AM60">
        <v>6408908</v>
      </c>
      <c r="AN60">
        <v>145657</v>
      </c>
    </row>
    <row r="61" spans="1:40" x14ac:dyDescent="0.35">
      <c r="A61" t="s">
        <v>23</v>
      </c>
      <c r="B61">
        <v>429978</v>
      </c>
      <c r="M61" s="3">
        <v>45347</v>
      </c>
      <c r="N61">
        <v>11</v>
      </c>
      <c r="O61">
        <v>1427261</v>
      </c>
      <c r="Z61" t="s">
        <v>6</v>
      </c>
      <c r="AA61">
        <v>11</v>
      </c>
      <c r="AL61">
        <v>11</v>
      </c>
      <c r="AM61">
        <v>1427261</v>
      </c>
      <c r="AN61">
        <v>129751</v>
      </c>
    </row>
    <row r="62" spans="1:40" x14ac:dyDescent="0.35">
      <c r="A62" t="s">
        <v>12</v>
      </c>
      <c r="B62">
        <v>3077660</v>
      </c>
      <c r="M62" s="3">
        <v>45348</v>
      </c>
      <c r="N62">
        <v>38</v>
      </c>
      <c r="O62">
        <v>8319530</v>
      </c>
      <c r="Z62" t="s">
        <v>10</v>
      </c>
      <c r="AA62">
        <v>38</v>
      </c>
      <c r="AL62">
        <v>38</v>
      </c>
      <c r="AM62">
        <v>8319530</v>
      </c>
      <c r="AN62">
        <v>218935</v>
      </c>
    </row>
    <row r="63" spans="1:40" x14ac:dyDescent="0.35">
      <c r="A63" t="s">
        <v>11</v>
      </c>
      <c r="B63">
        <v>1423604</v>
      </c>
      <c r="M63" s="3">
        <v>45349</v>
      </c>
      <c r="N63">
        <v>6</v>
      </c>
      <c r="O63">
        <v>654270</v>
      </c>
      <c r="Z63" t="s">
        <v>8</v>
      </c>
      <c r="AA63">
        <v>6</v>
      </c>
      <c r="AL63">
        <v>6</v>
      </c>
      <c r="AM63">
        <v>654270</v>
      </c>
      <c r="AN63">
        <v>109045</v>
      </c>
    </row>
    <row r="64" spans="1:40" x14ac:dyDescent="0.35">
      <c r="A64" t="s">
        <v>11</v>
      </c>
      <c r="B64">
        <v>4300736</v>
      </c>
      <c r="M64" s="3">
        <v>45350</v>
      </c>
      <c r="N64">
        <v>48</v>
      </c>
      <c r="O64">
        <v>2048208</v>
      </c>
      <c r="Z64" t="s">
        <v>10</v>
      </c>
      <c r="AA64">
        <v>48</v>
      </c>
      <c r="AL64">
        <v>48</v>
      </c>
      <c r="AM64">
        <v>2048208</v>
      </c>
      <c r="AN64">
        <v>42671</v>
      </c>
    </row>
    <row r="65" spans="1:40" x14ac:dyDescent="0.35">
      <c r="A65" t="s">
        <v>18</v>
      </c>
      <c r="B65">
        <v>309705</v>
      </c>
      <c r="M65" s="3">
        <v>45351</v>
      </c>
      <c r="N65">
        <v>6</v>
      </c>
      <c r="O65">
        <v>429978</v>
      </c>
      <c r="Z65" t="s">
        <v>15</v>
      </c>
      <c r="AA65">
        <v>6</v>
      </c>
      <c r="AL65">
        <v>6</v>
      </c>
      <c r="AM65">
        <v>429978</v>
      </c>
      <c r="AN65">
        <v>71663</v>
      </c>
    </row>
    <row r="66" spans="1:40" x14ac:dyDescent="0.35">
      <c r="A66" t="s">
        <v>23</v>
      </c>
      <c r="B66">
        <v>964114</v>
      </c>
      <c r="M66" s="3">
        <v>45352</v>
      </c>
      <c r="N66">
        <v>20</v>
      </c>
      <c r="O66">
        <v>3077660</v>
      </c>
      <c r="Z66" t="s">
        <v>8</v>
      </c>
      <c r="AA66">
        <v>20</v>
      </c>
      <c r="AL66">
        <v>20</v>
      </c>
      <c r="AM66">
        <v>3077660</v>
      </c>
      <c r="AN66">
        <v>153883</v>
      </c>
    </row>
    <row r="67" spans="1:40" x14ac:dyDescent="0.35">
      <c r="A67" t="s">
        <v>19</v>
      </c>
      <c r="B67">
        <v>467901</v>
      </c>
      <c r="M67" s="3">
        <v>45353</v>
      </c>
      <c r="N67">
        <v>26</v>
      </c>
      <c r="O67">
        <v>1423604</v>
      </c>
      <c r="Z67" t="s">
        <v>10</v>
      </c>
      <c r="AA67">
        <v>26</v>
      </c>
      <c r="AL67">
        <v>26</v>
      </c>
      <c r="AM67">
        <v>1423604</v>
      </c>
      <c r="AN67">
        <v>54754</v>
      </c>
    </row>
    <row r="68" spans="1:40" x14ac:dyDescent="0.35">
      <c r="A68" t="s">
        <v>18</v>
      </c>
      <c r="B68">
        <v>7502929</v>
      </c>
      <c r="M68" s="3">
        <v>45354</v>
      </c>
      <c r="N68">
        <v>41</v>
      </c>
      <c r="O68">
        <v>4300736</v>
      </c>
      <c r="Z68" t="s">
        <v>10</v>
      </c>
      <c r="AA68">
        <v>41</v>
      </c>
      <c r="AL68">
        <v>41</v>
      </c>
      <c r="AM68">
        <v>4300736</v>
      </c>
      <c r="AN68">
        <v>104896</v>
      </c>
    </row>
    <row r="69" spans="1:40" x14ac:dyDescent="0.35">
      <c r="A69" t="s">
        <v>20</v>
      </c>
      <c r="B69">
        <v>491184</v>
      </c>
      <c r="M69" s="3">
        <v>45355</v>
      </c>
      <c r="N69">
        <v>11</v>
      </c>
      <c r="O69">
        <v>309705</v>
      </c>
      <c r="Z69" t="s">
        <v>13</v>
      </c>
      <c r="AA69">
        <v>11</v>
      </c>
      <c r="AL69">
        <v>11</v>
      </c>
      <c r="AM69">
        <v>309705</v>
      </c>
      <c r="AN69">
        <v>28155</v>
      </c>
    </row>
    <row r="70" spans="1:40" x14ac:dyDescent="0.35">
      <c r="A70" t="s">
        <v>12</v>
      </c>
      <c r="B70">
        <v>246600</v>
      </c>
      <c r="M70" s="3">
        <v>45356</v>
      </c>
      <c r="N70">
        <v>23</v>
      </c>
      <c r="O70">
        <v>964114</v>
      </c>
      <c r="Z70" t="s">
        <v>15</v>
      </c>
      <c r="AA70">
        <v>23</v>
      </c>
      <c r="AL70">
        <v>23</v>
      </c>
      <c r="AM70">
        <v>964114</v>
      </c>
      <c r="AN70">
        <v>41918</v>
      </c>
    </row>
    <row r="71" spans="1:40" x14ac:dyDescent="0.35">
      <c r="A71" t="s">
        <v>11</v>
      </c>
      <c r="B71">
        <v>9718992</v>
      </c>
      <c r="M71" s="3">
        <v>45357</v>
      </c>
      <c r="N71">
        <v>7</v>
      </c>
      <c r="O71">
        <v>467901</v>
      </c>
      <c r="Z71" t="s">
        <v>13</v>
      </c>
      <c r="AA71">
        <v>7</v>
      </c>
      <c r="AL71">
        <v>7</v>
      </c>
      <c r="AM71">
        <v>467901</v>
      </c>
      <c r="AN71">
        <v>66843</v>
      </c>
    </row>
    <row r="72" spans="1:40" x14ac:dyDescent="0.35">
      <c r="A72" t="s">
        <v>25</v>
      </c>
      <c r="B72">
        <v>1062039</v>
      </c>
      <c r="M72" s="3">
        <v>45358</v>
      </c>
      <c r="N72">
        <v>49</v>
      </c>
      <c r="O72">
        <v>7502929</v>
      </c>
      <c r="Z72" t="s">
        <v>13</v>
      </c>
      <c r="AA72">
        <v>49</v>
      </c>
      <c r="AL72">
        <v>49</v>
      </c>
      <c r="AM72">
        <v>7502929</v>
      </c>
      <c r="AN72">
        <v>153121</v>
      </c>
    </row>
    <row r="73" spans="1:40" x14ac:dyDescent="0.35">
      <c r="A73" t="s">
        <v>17</v>
      </c>
      <c r="B73">
        <v>2582839</v>
      </c>
      <c r="M73" s="3">
        <v>45359</v>
      </c>
      <c r="N73">
        <v>12</v>
      </c>
      <c r="O73">
        <v>491184</v>
      </c>
      <c r="Z73" t="s">
        <v>15</v>
      </c>
      <c r="AA73">
        <v>12</v>
      </c>
      <c r="AL73">
        <v>12</v>
      </c>
      <c r="AM73">
        <v>491184</v>
      </c>
      <c r="AN73">
        <v>40932</v>
      </c>
    </row>
    <row r="74" spans="1:40" x14ac:dyDescent="0.35">
      <c r="A74" t="s">
        <v>21</v>
      </c>
      <c r="B74">
        <v>8493560</v>
      </c>
      <c r="M74" s="3">
        <v>45360</v>
      </c>
      <c r="N74">
        <v>9</v>
      </c>
      <c r="O74">
        <v>246600</v>
      </c>
      <c r="Z74" t="s">
        <v>8</v>
      </c>
      <c r="AA74">
        <v>9</v>
      </c>
      <c r="AL74">
        <v>9</v>
      </c>
      <c r="AM74">
        <v>246600</v>
      </c>
      <c r="AN74">
        <v>27400</v>
      </c>
    </row>
    <row r="75" spans="1:40" x14ac:dyDescent="0.35">
      <c r="A75" t="s">
        <v>25</v>
      </c>
      <c r="B75">
        <v>5827250</v>
      </c>
      <c r="M75" s="3">
        <v>45361</v>
      </c>
      <c r="N75">
        <v>48</v>
      </c>
      <c r="O75">
        <v>9718992</v>
      </c>
      <c r="Z75" t="s">
        <v>10</v>
      </c>
      <c r="AA75">
        <v>48</v>
      </c>
      <c r="AL75">
        <v>48</v>
      </c>
      <c r="AM75">
        <v>9718992</v>
      </c>
      <c r="AN75">
        <v>202479</v>
      </c>
    </row>
    <row r="76" spans="1:40" x14ac:dyDescent="0.35">
      <c r="A76" t="s">
        <v>23</v>
      </c>
      <c r="B76">
        <v>3564846</v>
      </c>
      <c r="M76" s="3">
        <v>45362</v>
      </c>
      <c r="N76">
        <v>33</v>
      </c>
      <c r="O76">
        <v>1062039</v>
      </c>
      <c r="Z76" t="s">
        <v>10</v>
      </c>
      <c r="AA76">
        <v>33</v>
      </c>
      <c r="AL76">
        <v>33</v>
      </c>
      <c r="AM76">
        <v>1062039</v>
      </c>
      <c r="AN76">
        <v>32183</v>
      </c>
    </row>
    <row r="77" spans="1:40" x14ac:dyDescent="0.35">
      <c r="A77" t="s">
        <v>14</v>
      </c>
      <c r="B77">
        <v>7427245</v>
      </c>
      <c r="M77" s="3">
        <v>45363</v>
      </c>
      <c r="N77">
        <v>49</v>
      </c>
      <c r="O77">
        <v>2582839</v>
      </c>
      <c r="Z77" t="s">
        <v>6</v>
      </c>
      <c r="AA77">
        <v>49</v>
      </c>
      <c r="AL77">
        <v>49</v>
      </c>
      <c r="AM77">
        <v>2582839</v>
      </c>
      <c r="AN77">
        <v>52711</v>
      </c>
    </row>
    <row r="78" spans="1:40" x14ac:dyDescent="0.35">
      <c r="A78" t="s">
        <v>9</v>
      </c>
      <c r="B78">
        <v>3969792</v>
      </c>
      <c r="M78" s="3">
        <v>45364</v>
      </c>
      <c r="N78">
        <v>40</v>
      </c>
      <c r="O78">
        <v>8493560</v>
      </c>
      <c r="Z78" t="s">
        <v>6</v>
      </c>
      <c r="AA78">
        <v>40</v>
      </c>
      <c r="AL78">
        <v>40</v>
      </c>
      <c r="AM78">
        <v>8493560</v>
      </c>
      <c r="AN78">
        <v>212339</v>
      </c>
    </row>
    <row r="79" spans="1:40" x14ac:dyDescent="0.35">
      <c r="A79" t="s">
        <v>7</v>
      </c>
      <c r="B79">
        <v>1559768</v>
      </c>
      <c r="M79" s="3">
        <v>45365</v>
      </c>
      <c r="N79">
        <v>25</v>
      </c>
      <c r="O79">
        <v>5827250</v>
      </c>
      <c r="Z79" t="s">
        <v>10</v>
      </c>
      <c r="AA79">
        <v>25</v>
      </c>
      <c r="AL79">
        <v>25</v>
      </c>
      <c r="AM79">
        <v>5827250</v>
      </c>
      <c r="AN79">
        <v>233090</v>
      </c>
    </row>
    <row r="80" spans="1:40" x14ac:dyDescent="0.35">
      <c r="A80" t="s">
        <v>17</v>
      </c>
      <c r="B80">
        <v>319248</v>
      </c>
      <c r="M80" s="3">
        <v>45366</v>
      </c>
      <c r="N80">
        <v>18</v>
      </c>
      <c r="O80">
        <v>3564846</v>
      </c>
      <c r="Z80" t="s">
        <v>15</v>
      </c>
      <c r="AA80">
        <v>18</v>
      </c>
      <c r="AL80">
        <v>18</v>
      </c>
      <c r="AM80">
        <v>3564846</v>
      </c>
      <c r="AN80">
        <v>198047</v>
      </c>
    </row>
    <row r="81" spans="1:40" x14ac:dyDescent="0.35">
      <c r="A81" t="s">
        <v>16</v>
      </c>
      <c r="B81">
        <v>876260</v>
      </c>
      <c r="M81" s="3">
        <v>45367</v>
      </c>
      <c r="N81">
        <v>35</v>
      </c>
      <c r="O81">
        <v>7427245</v>
      </c>
      <c r="Z81" t="s">
        <v>13</v>
      </c>
      <c r="AA81">
        <v>35</v>
      </c>
      <c r="AL81">
        <v>35</v>
      </c>
      <c r="AM81">
        <v>7427245</v>
      </c>
      <c r="AN81">
        <v>212207</v>
      </c>
    </row>
    <row r="82" spans="1:40" x14ac:dyDescent="0.35">
      <c r="A82" t="s">
        <v>12</v>
      </c>
      <c r="B82">
        <v>1366480</v>
      </c>
      <c r="M82" s="3">
        <v>45368</v>
      </c>
      <c r="N82">
        <v>36</v>
      </c>
      <c r="O82">
        <v>3969792</v>
      </c>
      <c r="Z82" t="s">
        <v>8</v>
      </c>
      <c r="AA82">
        <v>36</v>
      </c>
      <c r="AL82">
        <v>36</v>
      </c>
      <c r="AM82">
        <v>3969792</v>
      </c>
      <c r="AN82">
        <v>110272</v>
      </c>
    </row>
    <row r="83" spans="1:40" x14ac:dyDescent="0.35">
      <c r="A83" t="s">
        <v>25</v>
      </c>
      <c r="B83">
        <v>1554945</v>
      </c>
      <c r="M83" s="3">
        <v>45369</v>
      </c>
      <c r="N83">
        <v>14</v>
      </c>
      <c r="O83">
        <v>1559768</v>
      </c>
      <c r="Z83" t="s">
        <v>6</v>
      </c>
      <c r="AA83">
        <v>14</v>
      </c>
      <c r="AL83">
        <v>14</v>
      </c>
      <c r="AM83">
        <v>1559768</v>
      </c>
      <c r="AN83">
        <v>111412</v>
      </c>
    </row>
    <row r="84" spans="1:40" x14ac:dyDescent="0.35">
      <c r="A84" t="s">
        <v>16</v>
      </c>
      <c r="B84">
        <v>8109156</v>
      </c>
      <c r="M84" s="3">
        <v>45370</v>
      </c>
      <c r="N84">
        <v>3</v>
      </c>
      <c r="O84">
        <v>319248</v>
      </c>
      <c r="Z84" t="s">
        <v>6</v>
      </c>
      <c r="AA84">
        <v>3</v>
      </c>
      <c r="AL84">
        <v>3</v>
      </c>
      <c r="AM84">
        <v>319248</v>
      </c>
      <c r="AN84">
        <v>106416</v>
      </c>
    </row>
    <row r="85" spans="1:40" x14ac:dyDescent="0.35">
      <c r="A85" t="s">
        <v>7</v>
      </c>
      <c r="B85">
        <v>3154272</v>
      </c>
      <c r="M85" s="3">
        <v>45371</v>
      </c>
      <c r="N85">
        <v>22</v>
      </c>
      <c r="O85">
        <v>876260</v>
      </c>
      <c r="Z85" t="s">
        <v>15</v>
      </c>
      <c r="AA85">
        <v>22</v>
      </c>
      <c r="AL85">
        <v>22</v>
      </c>
      <c r="AM85">
        <v>876260</v>
      </c>
      <c r="AN85">
        <v>39830</v>
      </c>
    </row>
    <row r="86" spans="1:40" x14ac:dyDescent="0.35">
      <c r="A86" t="s">
        <v>17</v>
      </c>
      <c r="B86">
        <v>6173167</v>
      </c>
      <c r="M86" s="3">
        <v>45372</v>
      </c>
      <c r="N86">
        <v>8</v>
      </c>
      <c r="O86">
        <v>1366480</v>
      </c>
      <c r="Z86" t="s">
        <v>8</v>
      </c>
      <c r="AA86">
        <v>8</v>
      </c>
      <c r="AL86">
        <v>8</v>
      </c>
      <c r="AM86">
        <v>1366480</v>
      </c>
      <c r="AN86">
        <v>170810</v>
      </c>
    </row>
    <row r="87" spans="1:40" x14ac:dyDescent="0.35">
      <c r="A87" t="s">
        <v>20</v>
      </c>
      <c r="B87">
        <v>2986681</v>
      </c>
      <c r="M87" s="3">
        <v>45373</v>
      </c>
      <c r="N87">
        <v>21</v>
      </c>
      <c r="O87">
        <v>1554945</v>
      </c>
      <c r="Z87" t="s">
        <v>10</v>
      </c>
      <c r="AA87">
        <v>21</v>
      </c>
      <c r="AL87">
        <v>21</v>
      </c>
      <c r="AM87">
        <v>1554945</v>
      </c>
      <c r="AN87">
        <v>74045</v>
      </c>
    </row>
    <row r="88" spans="1:40" x14ac:dyDescent="0.35">
      <c r="A88" t="s">
        <v>22</v>
      </c>
      <c r="B88">
        <v>6429745</v>
      </c>
      <c r="M88" s="3">
        <v>45374</v>
      </c>
      <c r="N88">
        <v>33</v>
      </c>
      <c r="O88">
        <v>8109156</v>
      </c>
      <c r="Z88" t="s">
        <v>15</v>
      </c>
      <c r="AA88">
        <v>33</v>
      </c>
      <c r="AL88">
        <v>33</v>
      </c>
      <c r="AM88">
        <v>8109156</v>
      </c>
      <c r="AN88">
        <v>245732</v>
      </c>
    </row>
    <row r="89" spans="1:40" x14ac:dyDescent="0.35">
      <c r="A89" t="s">
        <v>23</v>
      </c>
      <c r="B89">
        <v>562080</v>
      </c>
      <c r="M89" s="3">
        <v>45375</v>
      </c>
      <c r="N89">
        <v>48</v>
      </c>
      <c r="O89">
        <v>3154272</v>
      </c>
      <c r="Z89" t="s">
        <v>6</v>
      </c>
      <c r="AA89">
        <v>48</v>
      </c>
      <c r="AL89">
        <v>48</v>
      </c>
      <c r="AM89">
        <v>3154272</v>
      </c>
      <c r="AN89">
        <v>65714</v>
      </c>
    </row>
    <row r="90" spans="1:40" x14ac:dyDescent="0.35">
      <c r="A90" t="s">
        <v>20</v>
      </c>
      <c r="B90">
        <v>6736517</v>
      </c>
      <c r="M90" s="3">
        <v>45376</v>
      </c>
      <c r="N90">
        <v>49</v>
      </c>
      <c r="O90">
        <v>6173167</v>
      </c>
      <c r="Z90" t="s">
        <v>6</v>
      </c>
      <c r="AA90">
        <v>49</v>
      </c>
      <c r="AL90">
        <v>49</v>
      </c>
      <c r="AM90">
        <v>6173167</v>
      </c>
      <c r="AN90">
        <v>125983</v>
      </c>
    </row>
    <row r="91" spans="1:40" x14ac:dyDescent="0.35">
      <c r="A91" t="s">
        <v>16</v>
      </c>
      <c r="B91">
        <v>548142</v>
      </c>
      <c r="M91" s="3">
        <v>45377</v>
      </c>
      <c r="N91">
        <v>29</v>
      </c>
      <c r="O91">
        <v>2986681</v>
      </c>
      <c r="Z91" t="s">
        <v>15</v>
      </c>
      <c r="AA91">
        <v>29</v>
      </c>
      <c r="AL91">
        <v>29</v>
      </c>
      <c r="AM91">
        <v>2986681</v>
      </c>
      <c r="AN91">
        <v>102989</v>
      </c>
    </row>
    <row r="92" spans="1:40" x14ac:dyDescent="0.35">
      <c r="A92" t="s">
        <v>16</v>
      </c>
      <c r="B92">
        <v>3341808</v>
      </c>
      <c r="M92" s="3">
        <v>45378</v>
      </c>
      <c r="N92">
        <v>35</v>
      </c>
      <c r="O92">
        <v>6429745</v>
      </c>
      <c r="Z92" t="s">
        <v>8</v>
      </c>
      <c r="AA92">
        <v>35</v>
      </c>
      <c r="AL92">
        <v>35</v>
      </c>
      <c r="AM92">
        <v>6429745</v>
      </c>
      <c r="AN92">
        <v>183707</v>
      </c>
    </row>
    <row r="93" spans="1:40" x14ac:dyDescent="0.35">
      <c r="A93" t="s">
        <v>19</v>
      </c>
      <c r="B93">
        <v>608871</v>
      </c>
      <c r="M93" s="3">
        <v>45379</v>
      </c>
      <c r="N93">
        <v>24</v>
      </c>
      <c r="O93">
        <v>562080</v>
      </c>
      <c r="Z93" t="s">
        <v>15</v>
      </c>
      <c r="AA93">
        <v>24</v>
      </c>
      <c r="AL93">
        <v>24</v>
      </c>
      <c r="AM93">
        <v>562080</v>
      </c>
      <c r="AN93">
        <v>23420</v>
      </c>
    </row>
    <row r="94" spans="1:40" x14ac:dyDescent="0.35">
      <c r="A94" t="s">
        <v>19</v>
      </c>
      <c r="B94">
        <v>837540</v>
      </c>
      <c r="M94" s="3">
        <v>45380</v>
      </c>
      <c r="N94">
        <v>31</v>
      </c>
      <c r="O94">
        <v>6736517</v>
      </c>
      <c r="Z94" t="s">
        <v>15</v>
      </c>
      <c r="AA94">
        <v>31</v>
      </c>
      <c r="AL94">
        <v>31</v>
      </c>
      <c r="AM94">
        <v>6736517</v>
      </c>
      <c r="AN94">
        <v>217307</v>
      </c>
    </row>
    <row r="95" spans="1:40" x14ac:dyDescent="0.35">
      <c r="A95" t="s">
        <v>19</v>
      </c>
      <c r="B95">
        <v>829683</v>
      </c>
      <c r="M95" s="3">
        <v>45381</v>
      </c>
      <c r="N95">
        <v>21</v>
      </c>
      <c r="O95">
        <v>548142</v>
      </c>
      <c r="Z95" t="s">
        <v>15</v>
      </c>
      <c r="AA95">
        <v>21</v>
      </c>
      <c r="AL95">
        <v>21</v>
      </c>
      <c r="AM95">
        <v>548142</v>
      </c>
      <c r="AN95">
        <v>26102</v>
      </c>
    </row>
    <row r="96" spans="1:40" x14ac:dyDescent="0.35">
      <c r="A96" t="s">
        <v>14</v>
      </c>
      <c r="B96">
        <v>3039991</v>
      </c>
      <c r="M96" s="3">
        <v>45382</v>
      </c>
      <c r="N96">
        <v>18</v>
      </c>
      <c r="O96">
        <v>3341808</v>
      </c>
      <c r="Z96" t="s">
        <v>15</v>
      </c>
      <c r="AA96">
        <v>18</v>
      </c>
      <c r="AL96">
        <v>18</v>
      </c>
      <c r="AM96">
        <v>3341808</v>
      </c>
      <c r="AN96">
        <v>185656</v>
      </c>
    </row>
    <row r="97" spans="1:40" x14ac:dyDescent="0.35">
      <c r="A97" t="s">
        <v>23</v>
      </c>
      <c r="B97">
        <v>9853063</v>
      </c>
      <c r="M97" s="3">
        <v>45383</v>
      </c>
      <c r="N97">
        <v>3</v>
      </c>
      <c r="O97">
        <v>608871</v>
      </c>
      <c r="Z97" t="s">
        <v>13</v>
      </c>
      <c r="AA97">
        <v>3</v>
      </c>
      <c r="AL97">
        <v>3</v>
      </c>
      <c r="AM97">
        <v>608871</v>
      </c>
      <c r="AN97">
        <v>202957</v>
      </c>
    </row>
    <row r="98" spans="1:40" x14ac:dyDescent="0.35">
      <c r="A98" t="s">
        <v>22</v>
      </c>
      <c r="B98">
        <v>5253690</v>
      </c>
      <c r="M98" s="3">
        <v>45384</v>
      </c>
      <c r="N98">
        <v>22</v>
      </c>
      <c r="O98">
        <v>837540</v>
      </c>
      <c r="Z98" t="s">
        <v>13</v>
      </c>
      <c r="AA98">
        <v>22</v>
      </c>
      <c r="AL98">
        <v>22</v>
      </c>
      <c r="AM98">
        <v>837540</v>
      </c>
      <c r="AN98">
        <v>38070</v>
      </c>
    </row>
    <row r="99" spans="1:40" x14ac:dyDescent="0.35">
      <c r="A99" t="s">
        <v>23</v>
      </c>
      <c r="B99">
        <v>1686888</v>
      </c>
      <c r="M99" s="3">
        <v>45385</v>
      </c>
      <c r="N99">
        <v>27</v>
      </c>
      <c r="O99">
        <v>829683</v>
      </c>
      <c r="Z99" t="s">
        <v>13</v>
      </c>
      <c r="AA99">
        <v>27</v>
      </c>
      <c r="AL99">
        <v>27</v>
      </c>
      <c r="AM99">
        <v>829683</v>
      </c>
      <c r="AN99">
        <v>30729</v>
      </c>
    </row>
    <row r="100" spans="1:40" x14ac:dyDescent="0.35">
      <c r="A100" t="s">
        <v>7</v>
      </c>
      <c r="B100">
        <v>447360</v>
      </c>
      <c r="M100" s="3">
        <v>45386</v>
      </c>
      <c r="N100">
        <v>17</v>
      </c>
      <c r="O100">
        <v>3039991</v>
      </c>
      <c r="Z100" t="s">
        <v>13</v>
      </c>
      <c r="AA100">
        <v>17</v>
      </c>
      <c r="AL100">
        <v>17</v>
      </c>
      <c r="AM100">
        <v>3039991</v>
      </c>
      <c r="AN100">
        <v>178823</v>
      </c>
    </row>
    <row r="101" spans="1:40" x14ac:dyDescent="0.35">
      <c r="A101" t="s">
        <v>17</v>
      </c>
      <c r="B101">
        <v>3313058</v>
      </c>
      <c r="M101" s="3">
        <v>45387</v>
      </c>
      <c r="N101">
        <v>43</v>
      </c>
      <c r="O101">
        <v>9853063</v>
      </c>
      <c r="Z101" t="s">
        <v>15</v>
      </c>
      <c r="AA101">
        <v>43</v>
      </c>
      <c r="AL101">
        <v>43</v>
      </c>
      <c r="AM101">
        <v>9853063</v>
      </c>
      <c r="AN101">
        <v>229141</v>
      </c>
    </row>
    <row r="102" spans="1:40" x14ac:dyDescent="0.35">
      <c r="M102" s="3">
        <v>45388</v>
      </c>
      <c r="N102">
        <v>26</v>
      </c>
      <c r="O102">
        <v>5253690</v>
      </c>
      <c r="Z102" t="s">
        <v>8</v>
      </c>
      <c r="AA102">
        <v>26</v>
      </c>
      <c r="AL102">
        <v>26</v>
      </c>
      <c r="AM102">
        <v>5253690</v>
      </c>
      <c r="AN102">
        <v>202065</v>
      </c>
    </row>
    <row r="103" spans="1:40" x14ac:dyDescent="0.35">
      <c r="M103" s="3">
        <v>45389</v>
      </c>
      <c r="N103">
        <v>7</v>
      </c>
      <c r="O103">
        <v>1686888</v>
      </c>
      <c r="Z103" t="s">
        <v>15</v>
      </c>
      <c r="AA103">
        <v>7</v>
      </c>
      <c r="AL103">
        <v>7</v>
      </c>
      <c r="AM103">
        <v>1686888</v>
      </c>
      <c r="AN103">
        <v>240984</v>
      </c>
    </row>
    <row r="104" spans="1:40" x14ac:dyDescent="0.35">
      <c r="M104" s="3">
        <v>45390</v>
      </c>
      <c r="N104">
        <v>20</v>
      </c>
      <c r="O104">
        <v>447360</v>
      </c>
      <c r="Z104" t="s">
        <v>6</v>
      </c>
      <c r="AA104">
        <v>20</v>
      </c>
      <c r="AL104">
        <v>20</v>
      </c>
      <c r="AM104">
        <v>447360</v>
      </c>
      <c r="AN104">
        <v>22368</v>
      </c>
    </row>
    <row r="105" spans="1:40" x14ac:dyDescent="0.35">
      <c r="M105" s="3">
        <v>45391</v>
      </c>
      <c r="N105">
        <v>23</v>
      </c>
      <c r="O105">
        <v>3313058</v>
      </c>
      <c r="Z105" t="s">
        <v>6</v>
      </c>
      <c r="AA105">
        <v>23</v>
      </c>
      <c r="AL105">
        <v>23</v>
      </c>
      <c r="AM105">
        <v>3313058</v>
      </c>
      <c r="AN105">
        <v>144046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Distribusi data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rossa florensia</cp:lastModifiedBy>
  <dcterms:created xsi:type="dcterms:W3CDTF">2025-12-01T07:47:15Z</dcterms:created>
  <dcterms:modified xsi:type="dcterms:W3CDTF">2025-12-04T09:16:11Z</dcterms:modified>
</cp:coreProperties>
</file>